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203\Desktop\MRV\Makale\Results in Engineering\Duzeltme1\Dialux Tablolar\"/>
    </mc:Choice>
  </mc:AlternateContent>
  <xr:revisionPtr revIDLastSave="0" documentId="13_ncr:1_{2FFA173C-EE84-46EE-B459-15090C0A6C29}" xr6:coauthVersionLast="47" xr6:coauthVersionMax="47" xr10:uidLastSave="{00000000-0000-0000-0000-000000000000}"/>
  <bookViews>
    <workbookView xWindow="20370" yWindow="-4815" windowWidth="29040" windowHeight="15840" xr2:uid="{12A403D9-C193-47F6-BBE0-1F46CDCD1B44}"/>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1" l="1"/>
  <c r="R12" i="1"/>
  <c r="S12" i="1"/>
  <c r="T12" i="1"/>
  <c r="U12" i="1"/>
  <c r="V12" i="1"/>
  <c r="W12" i="1"/>
  <c r="AA12" i="1"/>
  <c r="AB12" i="1"/>
  <c r="AC12" i="1"/>
  <c r="AD12" i="1"/>
  <c r="AE12" i="1"/>
  <c r="AF12" i="1"/>
  <c r="AG12" i="1"/>
  <c r="AG15" i="1"/>
  <c r="W15" i="1"/>
  <c r="AF15" i="1"/>
  <c r="V15" i="1"/>
  <c r="AE15" i="1"/>
  <c r="U15" i="1"/>
  <c r="AD15" i="1"/>
  <c r="T15" i="1"/>
  <c r="AC15" i="1"/>
  <c r="S15" i="1"/>
  <c r="AB15" i="1"/>
  <c r="R15" i="1"/>
  <c r="AA15" i="1"/>
  <c r="Q15" i="1"/>
  <c r="AJ14" i="1"/>
  <c r="Z14" i="1"/>
  <c r="AI14" i="1"/>
  <c r="Y14" i="1"/>
  <c r="AH14" i="1"/>
  <c r="X14" i="1"/>
  <c r="AG14" i="1"/>
  <c r="W14" i="1"/>
  <c r="AF14" i="1"/>
  <c r="V14" i="1"/>
  <c r="AE14" i="1"/>
  <c r="U14" i="1"/>
  <c r="AD14" i="1"/>
  <c r="T14" i="1"/>
  <c r="AC14" i="1"/>
  <c r="S14" i="1"/>
  <c r="AB14" i="1"/>
  <c r="R14" i="1"/>
  <c r="AA14" i="1"/>
  <c r="Q14" i="1"/>
  <c r="AC13" i="1"/>
  <c r="S13" i="1"/>
  <c r="AB13" i="1"/>
  <c r="R13" i="1"/>
  <c r="AA13" i="1"/>
  <c r="Q13" i="1"/>
  <c r="AF13" i="1"/>
  <c r="AE13" i="1"/>
  <c r="AD13" i="1"/>
  <c r="V13" i="1"/>
  <c r="U13" i="1"/>
  <c r="T13" i="1"/>
  <c r="AA18" i="1" l="1"/>
  <c r="AA19" i="1"/>
  <c r="Q19" i="1"/>
  <c r="Q18" i="1"/>
  <c r="Q16" i="1"/>
  <c r="AA17" i="1"/>
  <c r="Q17" i="1"/>
  <c r="AA16" i="1"/>
</calcChain>
</file>

<file path=xl/sharedStrings.xml><?xml version="1.0" encoding="utf-8"?>
<sst xmlns="http://schemas.openxmlformats.org/spreadsheetml/2006/main" count="144" uniqueCount="84">
  <si>
    <t>E</t>
  </si>
  <si>
    <t>Uo</t>
  </si>
  <si>
    <t xml:space="preserve">E </t>
  </si>
  <si>
    <t>Fagerhult Notor Delta 65 34W 3324lm</t>
  </si>
  <si>
    <t>Regent Item office 34W- 3700lm</t>
  </si>
  <si>
    <t xml:space="preserve">Downlight </t>
  </si>
  <si>
    <t xml:space="preserve">FAGERHULT 23207-402 Multilume Slim Opal 35W 3421lm </t>
  </si>
  <si>
    <t xml:space="preserve">FAGERHULT 12149-517 Closs LED Direct 16W 1972lm  </t>
  </si>
  <si>
    <t>REGENT</t>
  </si>
  <si>
    <t>Geo 3 Office - 600X600-31W</t>
  </si>
  <si>
    <t>60°</t>
  </si>
  <si>
    <t>Geo 3 Office - 600X600-23W</t>
  </si>
  <si>
    <t>Dime Office-630X630 - 43W</t>
  </si>
  <si>
    <t>XAL</t>
  </si>
  <si>
    <t>INTO 625</t>
  </si>
  <si>
    <t>Item Office-700X700-34W</t>
  </si>
  <si>
    <t>90°</t>
  </si>
  <si>
    <t>Item Office-700X700-44W</t>
  </si>
  <si>
    <t>FAGERHULT</t>
  </si>
  <si>
    <t>22255-402 Dwide ceiling</t>
  </si>
  <si>
    <t>110°</t>
  </si>
  <si>
    <t>23207-402 Multilume Slim Opal</t>
  </si>
  <si>
    <t>120°</t>
  </si>
  <si>
    <t>PROLICHT</t>
  </si>
  <si>
    <t>SMOOTHY 60X60</t>
  </si>
  <si>
    <t>I GUZZINI</t>
  </si>
  <si>
    <t>i PLAN ACCESS SQUARE</t>
  </si>
  <si>
    <t>Experiment No</t>
  </si>
  <si>
    <t>Luminaire Type</t>
  </si>
  <si>
    <t>Room Width (cm)</t>
  </si>
  <si>
    <t>Room Length (cm)</t>
  </si>
  <si>
    <t>Room Height (cm)</t>
  </si>
  <si>
    <t>Wall Surface Reflectance (p)</t>
  </si>
  <si>
    <r>
      <t>U</t>
    </r>
    <r>
      <rPr>
        <b/>
        <vertAlign val="subscript"/>
        <sz val="12"/>
        <color theme="1"/>
        <rFont val="Times New Roman"/>
        <family val="1"/>
        <charset val="162"/>
      </rPr>
      <t>o</t>
    </r>
  </si>
  <si>
    <t>X - axis</t>
  </si>
  <si>
    <t>Y - axis</t>
  </si>
  <si>
    <t>Recommended Luminaires</t>
  </si>
  <si>
    <t xml:space="preserve">REGENT Item Office-700X700-44W 4600lm                                                                                 </t>
  </si>
  <si>
    <t xml:space="preserve">XAL VELA 300 direct surface 10W-993lm                                                                </t>
  </si>
  <si>
    <t xml:space="preserve">FAGERHULT 13132-402 NOTOR 78 - UP/DOWN - 70/30 43W 5006lm                                                                                                                                 </t>
  </si>
  <si>
    <t>FAGERHULT 13132-402 NOTOR 78 - UP/DOWN - 70/30 43W 5006lm</t>
  </si>
  <si>
    <t xml:space="preserve">REGENT Item Office-700X700-34W 3700lm                                                                                   </t>
  </si>
  <si>
    <t xml:space="preserve">DELTALIGHT ENTERO RD-S TRIMLESS 93045 W 14W 835lm         </t>
  </si>
  <si>
    <t xml:space="preserve">REGENT Item Office-1260X325 - 44W 4400lm                    </t>
  </si>
  <si>
    <t xml:space="preserve">REGENT Dime Office-630X630 - 43W 4402 lm                                        </t>
  </si>
  <si>
    <t xml:space="preserve">FAGERHULT 22350-449 Dwide Pendant 52W 6592lm 
</t>
  </si>
  <si>
    <t xml:space="preserve">FLOS Light Shadow Pro Ø 60 Fixed Optic Wide Flood 15W 995lm     </t>
  </si>
  <si>
    <t xml:space="preserve">REGENT Item Office-1260X325 - 44W 4400lm                                  </t>
  </si>
  <si>
    <t xml:space="preserve">I GUZZINI i PLAN ACCESS SQUARE 33W 3100lm  </t>
  </si>
  <si>
    <t xml:space="preserve">XAL VELA 300 direct surface 10W-993lm                                          </t>
  </si>
  <si>
    <t xml:space="preserve">LOUIS POULSEN MUNKEGAARD 30W 2145lm                                </t>
  </si>
  <si>
    <t xml:space="preserve">I GUZZINI i PLAN ACCESS SQUARE-33W 3100lm  </t>
  </si>
  <si>
    <t>Regent ıtem Office 44W- 4600lm</t>
  </si>
  <si>
    <t>i Guzzini Easy 17W 2160lm</t>
  </si>
  <si>
    <t xml:space="preserve">Linear Luminaire  </t>
  </si>
  <si>
    <t>Square Ceiling Limunaire</t>
  </si>
  <si>
    <t>Suspended Linear Luminaire</t>
  </si>
  <si>
    <r>
      <t xml:space="preserve">Prediction Model :  </t>
    </r>
    <r>
      <rPr>
        <b/>
        <sz val="14"/>
        <color rgb="FFFF0000"/>
        <rFont val="Times New Roman"/>
        <family val="1"/>
        <charset val="162"/>
      </rPr>
      <t>inputs:</t>
    </r>
    <r>
      <rPr>
        <b/>
        <sz val="14"/>
        <color theme="1"/>
        <rFont val="Times New Roman"/>
        <family val="1"/>
        <charset val="162"/>
      </rPr>
      <t xml:space="preserve"> </t>
    </r>
    <r>
      <rPr>
        <sz val="14"/>
        <color theme="1"/>
        <rFont val="Times New Roman"/>
        <family val="1"/>
        <charset val="162"/>
      </rPr>
      <t xml:space="preserve">volumetric parameters - E, Uo = </t>
    </r>
    <r>
      <rPr>
        <b/>
        <sz val="14"/>
        <color theme="3" tint="0.249977111117893"/>
        <rFont val="Times New Roman"/>
        <family val="1"/>
        <charset val="162"/>
      </rPr>
      <t xml:space="preserve">outputs: </t>
    </r>
    <r>
      <rPr>
        <sz val="14"/>
        <color theme="1"/>
        <rFont val="Times New Roman"/>
        <family val="1"/>
        <charset val="162"/>
      </rPr>
      <t>number of luminaires on X-Y axis and recommended luminaire</t>
    </r>
  </si>
  <si>
    <t>Dialux calculation results</t>
  </si>
  <si>
    <r>
      <rPr>
        <b/>
        <sz val="10"/>
        <color theme="3" tint="0.249977111117893"/>
        <rFont val="Times New Roman"/>
        <family val="1"/>
        <charset val="162"/>
      </rPr>
      <t xml:space="preserve">REGENT Dime Office-630X630 - 43W 4402 lm       </t>
    </r>
    <r>
      <rPr>
        <b/>
        <sz val="9"/>
        <color rgb="FFFF0000"/>
        <rFont val="Times New Roman"/>
        <family val="1"/>
        <charset val="162"/>
      </rPr>
      <t xml:space="preserve"> </t>
    </r>
    <r>
      <rPr>
        <sz val="9"/>
        <color rgb="FFFF0000"/>
        <rFont val="Times New Roman"/>
        <family val="1"/>
        <charset val="162"/>
      </rPr>
      <t xml:space="preserve">                </t>
    </r>
    <r>
      <rPr>
        <sz val="9"/>
        <color theme="1"/>
        <rFont val="Times New Roman"/>
        <family val="1"/>
        <charset val="162"/>
      </rPr>
      <t xml:space="preserve">                </t>
    </r>
  </si>
  <si>
    <t>Luminaire NO</t>
  </si>
  <si>
    <t>Company Name</t>
  </si>
  <si>
    <t>Product</t>
  </si>
  <si>
    <t>Power (W)</t>
  </si>
  <si>
    <t>Luminous Flux (lm)</t>
  </si>
  <si>
    <t>Beam Angle</t>
  </si>
  <si>
    <r>
      <t>U</t>
    </r>
    <r>
      <rPr>
        <b/>
        <vertAlign val="subscript"/>
        <sz val="10"/>
        <color theme="1"/>
        <rFont val="Times New Roman"/>
        <family val="1"/>
        <charset val="162"/>
      </rPr>
      <t>o</t>
    </r>
  </si>
  <si>
    <r>
      <t>U</t>
    </r>
    <r>
      <rPr>
        <vertAlign val="subscript"/>
        <sz val="14"/>
        <color theme="1"/>
        <rFont val="Times New Roman"/>
        <family val="1"/>
        <charset val="162"/>
      </rPr>
      <t>o</t>
    </r>
  </si>
  <si>
    <t>Technical Spesifications of Luminaires</t>
  </si>
  <si>
    <t>This experiment was conducted to evaluate the prediction model’s ability to recommend the most suitable lighting fixture for the same volume. For these volume parameters, lighting calculations were performed in Dialux Evo using the 10 luminaires included in the generated fixture list. The lighting calculation results for each luminaire are presented in the table below.</t>
  </si>
  <si>
    <t>Linear Luminaire</t>
  </si>
  <si>
    <t>Downlight</t>
  </si>
  <si>
    <t>Consistency ratio (%) Linear Luminaires</t>
  </si>
  <si>
    <t>Consistency ratio  (%) Suspended Linear Luminaires</t>
  </si>
  <si>
    <t>Consistency ratio  (%) Square Ceiling Limunaires</t>
  </si>
  <si>
    <t>Consistency ratio  (%) Downlight</t>
  </si>
  <si>
    <t>FAGERHULT 13308-449 NOTOR 65 Beta Opti 35W 4665lm</t>
  </si>
  <si>
    <t>REGENT Geo 4 office - 1250x250-34W 3641lm</t>
  </si>
  <si>
    <t>REGENT Dime Office-630X630 - 43W 4402lm</t>
  </si>
  <si>
    <t xml:space="preserve">FAGERHULT 13308-449 NOTOR 65 Beta Opti 35W 4665lm </t>
  </si>
  <si>
    <t xml:space="preserve"> REGENT Geo 4 office - 1250x250-34W 3641lm</t>
  </si>
  <si>
    <t xml:space="preserve"> FAGERHULT 13308-449 NOTOR 65 Beta Opti 35W 4665lm </t>
  </si>
  <si>
    <t xml:space="preserve"> REGENT Dime Office-630X630 - 43W 4402lm</t>
  </si>
  <si>
    <r>
      <t xml:space="preserve"> </t>
    </r>
    <r>
      <rPr>
        <sz val="10"/>
        <rFont val="Aptos Narrow"/>
        <family val="2"/>
        <scheme val="minor"/>
      </rPr>
      <t>FAGERHULT 12149-517 Closs LED Direct 16W 1972lm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</si>
</sst>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Aptos Narrow"/>
      <family val="2"/>
      <charset val="162"/>
      <scheme val="minor"/>
    </font>
    <font>
      <sz val="9"/>
      <color theme="1"/>
      <name val="Times New Roman"/>
      <family val="1"/>
      <charset val="162"/>
    </font>
    <font>
      <sz val="9"/>
      <color rgb="FFFF0000"/>
      <name val="Times New Roman"/>
      <family val="1"/>
      <charset val="162"/>
    </font>
    <font>
      <sz val="12"/>
      <color theme="1"/>
      <name val="Times New Roman"/>
      <family val="1"/>
      <charset val="162"/>
    </font>
    <font>
      <sz val="14"/>
      <color theme="1"/>
      <name val="Times New Roman"/>
      <family val="1"/>
      <charset val="162"/>
    </font>
    <font>
      <b/>
      <sz val="12"/>
      <color theme="1"/>
      <name val="Times New Roman"/>
      <family val="1"/>
      <charset val="162"/>
    </font>
    <font>
      <u/>
      <sz val="11"/>
      <color theme="10"/>
      <name val="Aptos Narrow"/>
      <family val="2"/>
      <charset val="162"/>
      <scheme val="minor"/>
    </font>
    <font>
      <sz val="7"/>
      <color theme="1"/>
      <name val="Times New Roman"/>
      <family val="1"/>
      <charset val="162"/>
    </font>
    <font>
      <u/>
      <sz val="7"/>
      <color theme="10"/>
      <name val="Times New Roman"/>
      <family val="1"/>
      <charset val="162"/>
    </font>
    <font>
      <b/>
      <sz val="9"/>
      <color rgb="FFFF0000"/>
      <name val="Times New Roman"/>
      <family val="1"/>
      <charset val="162"/>
    </font>
    <font>
      <b/>
      <sz val="14"/>
      <color theme="1"/>
      <name val="Times New Roman"/>
      <family val="1"/>
      <charset val="162"/>
    </font>
    <font>
      <b/>
      <sz val="9"/>
      <color theme="3" tint="0.249977111117893"/>
      <name val="Times New Roman"/>
      <family val="1"/>
      <charset val="162"/>
    </font>
    <font>
      <b/>
      <sz val="10"/>
      <color theme="3" tint="0.249977111117893"/>
      <name val="Times New Roman"/>
      <family val="1"/>
      <charset val="162"/>
    </font>
    <font>
      <b/>
      <sz val="14"/>
      <color rgb="FFFF0000"/>
      <name val="Times New Roman"/>
      <family val="1"/>
      <charset val="162"/>
    </font>
    <font>
      <b/>
      <sz val="14"/>
      <color theme="3" tint="0.249977111117893"/>
      <name val="Times New Roman"/>
      <family val="1"/>
      <charset val="162"/>
    </font>
    <font>
      <sz val="9"/>
      <name val="Times New Roman"/>
      <family val="1"/>
      <charset val="162"/>
    </font>
    <font>
      <sz val="10"/>
      <color theme="1"/>
      <name val="Times New Roman"/>
      <family val="1"/>
      <charset val="162"/>
    </font>
    <font>
      <sz val="10"/>
      <color theme="1"/>
      <name val="Aptos Narrow"/>
      <family val="2"/>
      <charset val="162"/>
      <scheme val="minor"/>
    </font>
    <font>
      <b/>
      <sz val="10"/>
      <color theme="1"/>
      <name val="Times New Roman"/>
      <family val="1"/>
      <charset val="162"/>
    </font>
    <font>
      <b/>
      <vertAlign val="subscript"/>
      <sz val="12"/>
      <color theme="1"/>
      <name val="Times New Roman"/>
      <family val="1"/>
      <charset val="162"/>
    </font>
    <font>
      <sz val="9"/>
      <color rgb="FF000000"/>
      <name val="Times New Roman"/>
      <family val="1"/>
      <charset val="162"/>
    </font>
    <font>
      <b/>
      <vertAlign val="subscript"/>
      <sz val="10"/>
      <color theme="1"/>
      <name val="Times New Roman"/>
      <family val="1"/>
      <charset val="162"/>
    </font>
    <font>
      <vertAlign val="subscript"/>
      <sz val="14"/>
      <color theme="1"/>
      <name val="Times New Roman"/>
      <family val="1"/>
      <charset val="162"/>
    </font>
    <font>
      <sz val="12"/>
      <color theme="1"/>
      <name val="Aptos Narrow"/>
      <family val="2"/>
      <charset val="162"/>
      <scheme val="minor"/>
    </font>
    <font>
      <sz val="10"/>
      <name val="Times New Roman"/>
      <family val="1"/>
      <charset val="162"/>
    </font>
    <font>
      <sz val="10"/>
      <name val="Aptos Narrow"/>
      <family val="2"/>
      <charset val="162"/>
      <scheme val="minor"/>
    </font>
    <font>
      <sz val="10"/>
      <name val="Aptos Narrow"/>
      <family val="2"/>
      <scheme val="minor"/>
    </font>
  </fonts>
  <fills count="8">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0000"/>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2">
    <xf numFmtId="0" fontId="0" fillId="0" borderId="0"/>
    <xf numFmtId="0" fontId="6" fillId="0" borderId="0" applyNumberFormat="0" applyFill="0" applyBorder="0" applyAlignment="0" applyProtection="0"/>
  </cellStyleXfs>
  <cellXfs count="71">
    <xf numFmtId="0" fontId="0" fillId="0" borderId="0" xfId="0"/>
    <xf numFmtId="0" fontId="0" fillId="2" borderId="0" xfId="0" applyFill="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1" fillId="6" borderId="1" xfId="0" applyFont="1" applyFill="1" applyBorder="1"/>
    <xf numFmtId="0" fontId="7" fillId="0" borderId="1" xfId="0" applyFont="1" applyBorder="1"/>
    <xf numFmtId="0" fontId="7" fillId="0" borderId="0" xfId="0" applyFont="1"/>
    <xf numFmtId="0" fontId="7" fillId="0" borderId="0" xfId="0" applyFont="1" applyAlignment="1">
      <alignment wrapText="1"/>
    </xf>
    <xf numFmtId="0" fontId="7" fillId="0" borderId="1" xfId="0" applyFont="1" applyBorder="1" applyAlignment="1">
      <alignment horizontal="center" vertical="center" wrapText="1"/>
    </xf>
    <xf numFmtId="0" fontId="7" fillId="6" borderId="1" xfId="0" applyFont="1" applyFill="1" applyBorder="1" applyAlignment="1">
      <alignment horizontal="center" vertical="center" wrapText="1"/>
    </xf>
    <xf numFmtId="0" fontId="7" fillId="0" borderId="1" xfId="0" applyFont="1" applyBorder="1" applyAlignment="1">
      <alignment vertical="center" wrapText="1"/>
    </xf>
    <xf numFmtId="0" fontId="7" fillId="0" borderId="0" xfId="0" applyFont="1" applyAlignment="1">
      <alignment horizontal="center" vertical="center" wrapText="1"/>
    </xf>
    <xf numFmtId="0" fontId="8" fillId="0" borderId="0" xfId="1" applyFont="1" applyFill="1" applyBorder="1" applyAlignment="1">
      <alignment vertical="center" wrapText="1"/>
    </xf>
    <xf numFmtId="0" fontId="4" fillId="0" borderId="1" xfId="0" applyFont="1" applyBorder="1" applyAlignment="1">
      <alignment horizontal="center" vertical="center"/>
    </xf>
    <xf numFmtId="0" fontId="1" fillId="0" borderId="1" xfId="0" applyFont="1" applyBorder="1" applyAlignment="1">
      <alignment horizontal="center" wrapText="1"/>
    </xf>
    <xf numFmtId="0" fontId="17" fillId="0" borderId="0" xfId="0" applyFont="1"/>
    <xf numFmtId="0" fontId="17" fillId="2" borderId="0" xfId="0" applyFont="1" applyFill="1"/>
    <xf numFmtId="0" fontId="17" fillId="3" borderId="0" xfId="0" applyFont="1" applyFill="1"/>
    <xf numFmtId="0" fontId="16" fillId="4" borderId="1" xfId="0" applyFont="1" applyFill="1" applyBorder="1" applyAlignment="1">
      <alignment horizontal="center" wrapText="1"/>
    </xf>
    <xf numFmtId="0" fontId="17" fillId="4" borderId="1" xfId="0" applyFont="1" applyFill="1" applyBorder="1" applyAlignment="1">
      <alignment horizontal="center"/>
    </xf>
    <xf numFmtId="0" fontId="16" fillId="4" borderId="1" xfId="0" applyFont="1" applyFill="1" applyBorder="1" applyAlignment="1">
      <alignment horizontal="center"/>
    </xf>
    <xf numFmtId="0" fontId="16" fillId="0" borderId="1" xfId="0" applyFont="1" applyBorder="1" applyAlignment="1">
      <alignment horizontal="center" wrapText="1"/>
    </xf>
    <xf numFmtId="0" fontId="16" fillId="0" borderId="1" xfId="0" applyFont="1" applyBorder="1" applyAlignment="1">
      <alignment horizontal="center"/>
    </xf>
    <xf numFmtId="0" fontId="17" fillId="0" borderId="1" xfId="0" applyFont="1" applyBorder="1" applyAlignment="1">
      <alignment horizontal="center"/>
    </xf>
    <xf numFmtId="0" fontId="5" fillId="7" borderId="1" xfId="0" applyFont="1" applyFill="1" applyBorder="1" applyAlignment="1">
      <alignment wrapText="1"/>
    </xf>
    <xf numFmtId="0" fontId="18" fillId="7" borderId="1" xfId="0" applyFont="1" applyFill="1" applyBorder="1" applyAlignment="1">
      <alignment horizontal="center" wrapText="1"/>
    </xf>
    <xf numFmtId="0" fontId="5" fillId="7" borderId="1" xfId="0" applyFont="1" applyFill="1" applyBorder="1" applyAlignment="1">
      <alignment horizontal="center" wrapText="1"/>
    </xf>
    <xf numFmtId="0" fontId="20" fillId="0" borderId="1" xfId="0" applyFont="1" applyBorder="1" applyAlignment="1">
      <alignment horizontal="center"/>
    </xf>
    <xf numFmtId="0" fontId="16" fillId="6" borderId="1" xfId="0" applyFont="1" applyFill="1" applyBorder="1" applyAlignment="1">
      <alignment horizontal="center"/>
    </xf>
    <xf numFmtId="0" fontId="9" fillId="0" borderId="1" xfId="0" applyFont="1" applyBorder="1" applyAlignment="1">
      <alignment horizontal="center" wrapText="1"/>
    </xf>
    <xf numFmtId="0" fontId="11" fillId="0" borderId="1" xfId="0" applyFont="1" applyBorder="1" applyAlignment="1">
      <alignment horizontal="center" wrapText="1"/>
    </xf>
    <xf numFmtId="0" fontId="7" fillId="0" borderId="12" xfId="0" applyFont="1" applyBorder="1" applyAlignment="1">
      <alignment horizontal="center" vertical="center" wrapText="1"/>
    </xf>
    <xf numFmtId="0" fontId="7" fillId="0" borderId="12" xfId="0" applyFont="1" applyBorder="1" applyAlignment="1">
      <alignment vertical="center" wrapText="1"/>
    </xf>
    <xf numFmtId="0" fontId="16" fillId="0" borderId="0" xfId="0" applyFont="1"/>
    <xf numFmtId="0" fontId="18" fillId="0" borderId="0" xfId="0" applyFont="1" applyAlignment="1">
      <alignment horizontal="center" wrapText="1"/>
    </xf>
    <xf numFmtId="0" fontId="15" fillId="0" borderId="0" xfId="0" applyFont="1" applyAlignment="1">
      <alignment horizontal="center" vertical="center" wrapText="1"/>
    </xf>
    <xf numFmtId="0" fontId="15" fillId="0" borderId="0" xfId="1" applyFont="1" applyFill="1" applyBorder="1" applyAlignment="1">
      <alignment horizontal="center" vertical="center" wrapText="1"/>
    </xf>
    <xf numFmtId="0" fontId="9" fillId="0" borderId="0" xfId="0" applyFont="1" applyAlignment="1">
      <alignment horizontal="center" vertical="center" wrapText="1"/>
    </xf>
    <xf numFmtId="0" fontId="9" fillId="0" borderId="0" xfId="1"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1" xfId="1"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1" xfId="1" applyFont="1" applyFill="1" applyBorder="1" applyAlignment="1">
      <alignment horizontal="center" vertical="center" wrapText="1"/>
    </xf>
    <xf numFmtId="2" fontId="3" fillId="0" borderId="1" xfId="0" applyNumberFormat="1" applyFont="1" applyBorder="1"/>
    <xf numFmtId="2" fontId="3" fillId="5" borderId="1" xfId="0" applyNumberFormat="1" applyFont="1" applyFill="1" applyBorder="1"/>
    <xf numFmtId="0" fontId="5" fillId="0" borderId="0" xfId="0" applyFont="1" applyAlignment="1">
      <alignment horizontal="center" wrapText="1"/>
    </xf>
    <xf numFmtId="0" fontId="16" fillId="0" borderId="0" xfId="0" applyFont="1" applyAlignment="1">
      <alignment wrapText="1"/>
    </xf>
    <xf numFmtId="0" fontId="16" fillId="0" borderId="0" xfId="0" applyFont="1" applyAlignment="1">
      <alignment horizontal="center"/>
    </xf>
    <xf numFmtId="0" fontId="16" fillId="0" borderId="0" xfId="0" applyFont="1" applyAlignment="1">
      <alignment horizontal="left"/>
    </xf>
    <xf numFmtId="0" fontId="24" fillId="0" borderId="1" xfId="0" applyFont="1" applyBorder="1" applyAlignment="1">
      <alignment horizontal="center" wrapText="1"/>
    </xf>
    <xf numFmtId="0" fontId="25" fillId="0" borderId="1" xfId="0" applyFont="1" applyBorder="1" applyAlignment="1">
      <alignment horizontal="center" wrapText="1"/>
    </xf>
    <xf numFmtId="0" fontId="3" fillId="0" borderId="1" xfId="0" applyFont="1" applyBorder="1" applyAlignment="1">
      <alignment vertical="center" wrapText="1"/>
    </xf>
    <xf numFmtId="2" fontId="3" fillId="0" borderId="2" xfId="0" applyNumberFormat="1" applyFont="1" applyBorder="1" applyAlignment="1">
      <alignment wrapText="1"/>
    </xf>
    <xf numFmtId="2" fontId="3" fillId="0" borderId="3" xfId="0" applyNumberFormat="1" applyFont="1" applyBorder="1" applyAlignment="1">
      <alignment wrapText="1"/>
    </xf>
    <xf numFmtId="2" fontId="3" fillId="0" borderId="4" xfId="0" applyNumberFormat="1" applyFont="1" applyBorder="1" applyAlignment="1">
      <alignment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8"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wrapText="1"/>
    </xf>
    <xf numFmtId="0" fontId="4" fillId="0" borderId="13" xfId="0" applyFont="1" applyBorder="1" applyAlignment="1">
      <alignment wrapText="1"/>
    </xf>
    <xf numFmtId="0" fontId="0" fillId="0" borderId="0" xfId="0" applyAlignment="1">
      <alignment wrapText="1"/>
    </xf>
    <xf numFmtId="0" fontId="0" fillId="0" borderId="7" xfId="0" applyBorder="1" applyAlignment="1">
      <alignment wrapText="1"/>
    </xf>
    <xf numFmtId="0" fontId="0" fillId="0" borderId="11" xfId="0" applyBorder="1" applyAlignment="1">
      <alignment wrapText="1"/>
    </xf>
    <xf numFmtId="0" fontId="4" fillId="0" borderId="5" xfId="0" applyFont="1" applyBorder="1" applyAlignment="1">
      <alignment vertical="center" wrapText="1"/>
    </xf>
    <xf numFmtId="0" fontId="0" fillId="0" borderId="12" xfId="0" applyBorder="1" applyAlignment="1">
      <alignment wrapText="1"/>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85B01-079D-4419-BDD9-8EE9B9DCA7AF}">
  <dimension ref="A7:MQ63"/>
  <sheetViews>
    <sheetView tabSelected="1" topLeftCell="A40" zoomScale="55" zoomScaleNormal="55" workbookViewId="0">
      <selection activeCell="N52" sqref="N52"/>
    </sheetView>
  </sheetViews>
  <sheetFormatPr defaultRowHeight="15" x14ac:dyDescent="0.25"/>
  <cols>
    <col min="1" max="1" width="14.5703125" customWidth="1"/>
    <col min="2" max="2" width="18.28515625" customWidth="1"/>
    <col min="3" max="3" width="10.140625" customWidth="1"/>
    <col min="6" max="6" width="17.7109375" customWidth="1"/>
    <col min="7" max="7" width="11.7109375" customWidth="1"/>
    <col min="8" max="8" width="11.140625" customWidth="1"/>
    <col min="9" max="9" width="13.28515625" customWidth="1"/>
    <col min="10" max="10" width="11.7109375" customWidth="1"/>
    <col min="11" max="11" width="45" customWidth="1"/>
    <col min="14" max="14" width="43.28515625" customWidth="1"/>
    <col min="16" max="16" width="41.5703125" customWidth="1"/>
    <col min="17" max="36" width="7.7109375" customWidth="1"/>
  </cols>
  <sheetData>
    <row r="7" spans="1:355" s="15" customFormat="1" ht="50.1" customHeight="1" x14ac:dyDescent="0.3">
      <c r="A7" s="24" t="s">
        <v>27</v>
      </c>
      <c r="B7" s="26" t="s">
        <v>28</v>
      </c>
      <c r="C7" s="26" t="s">
        <v>29</v>
      </c>
      <c r="D7" s="26" t="s">
        <v>30</v>
      </c>
      <c r="E7" s="26" t="s">
        <v>31</v>
      </c>
      <c r="F7" s="26" t="s">
        <v>32</v>
      </c>
      <c r="G7" s="26" t="s">
        <v>0</v>
      </c>
      <c r="H7" s="26" t="s">
        <v>33</v>
      </c>
      <c r="I7" s="26" t="s">
        <v>34</v>
      </c>
      <c r="J7" s="26" t="s">
        <v>35</v>
      </c>
      <c r="K7" s="26" t="s">
        <v>36</v>
      </c>
      <c r="L7" s="26" t="s">
        <v>2</v>
      </c>
      <c r="M7" s="26" t="s">
        <v>33</v>
      </c>
      <c r="N7" s="45"/>
    </row>
    <row r="8" spans="1:355" s="15" customFormat="1" ht="39.950000000000003" customHeight="1" x14ac:dyDescent="0.25">
      <c r="A8" s="22">
        <v>1</v>
      </c>
      <c r="B8" s="21" t="s">
        <v>54</v>
      </c>
      <c r="C8" s="21">
        <v>500</v>
      </c>
      <c r="D8" s="21">
        <v>800</v>
      </c>
      <c r="E8" s="21">
        <v>300</v>
      </c>
      <c r="F8" s="21">
        <v>70</v>
      </c>
      <c r="G8" s="18">
        <v>500</v>
      </c>
      <c r="H8" s="18">
        <v>0.6</v>
      </c>
      <c r="I8" s="21">
        <v>2</v>
      </c>
      <c r="J8" s="21">
        <v>4</v>
      </c>
      <c r="K8" s="49" t="s">
        <v>3</v>
      </c>
      <c r="L8" s="18">
        <v>503</v>
      </c>
      <c r="M8" s="18">
        <v>0.53</v>
      </c>
      <c r="N8" s="46"/>
    </row>
    <row r="9" spans="1:355" s="16" customFormat="1" ht="39.950000000000003" customHeight="1" x14ac:dyDescent="0.25">
      <c r="A9" s="22">
        <v>2</v>
      </c>
      <c r="B9" s="21" t="s">
        <v>55</v>
      </c>
      <c r="C9" s="21">
        <v>450</v>
      </c>
      <c r="D9" s="21">
        <v>750</v>
      </c>
      <c r="E9" s="21">
        <v>350</v>
      </c>
      <c r="F9" s="21">
        <v>60</v>
      </c>
      <c r="G9" s="18">
        <v>500</v>
      </c>
      <c r="H9" s="18">
        <v>0.6</v>
      </c>
      <c r="I9" s="21">
        <v>2</v>
      </c>
      <c r="J9" s="21">
        <v>4</v>
      </c>
      <c r="K9" s="49" t="s">
        <v>4</v>
      </c>
      <c r="L9" s="18">
        <v>571</v>
      </c>
      <c r="M9" s="18">
        <v>0.55000000000000004</v>
      </c>
      <c r="N9" s="46"/>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15"/>
      <c r="CL9" s="15"/>
      <c r="CM9" s="15"/>
      <c r="CN9" s="15"/>
      <c r="CO9" s="15"/>
      <c r="CP9" s="15"/>
      <c r="CQ9" s="15"/>
      <c r="CR9" s="15"/>
      <c r="CS9" s="15"/>
      <c r="CT9" s="15"/>
      <c r="CU9" s="15"/>
      <c r="CV9" s="15"/>
      <c r="CW9" s="15"/>
      <c r="CX9" s="15"/>
      <c r="CY9" s="15"/>
      <c r="CZ9" s="15"/>
      <c r="DA9" s="15"/>
      <c r="DB9" s="15"/>
      <c r="DC9" s="15"/>
      <c r="DD9" s="15"/>
      <c r="DE9" s="15"/>
      <c r="DF9" s="15"/>
      <c r="DG9" s="15"/>
      <c r="DH9" s="15"/>
      <c r="DI9" s="15"/>
      <c r="DJ9" s="15"/>
      <c r="DK9" s="15"/>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5"/>
      <c r="ES9" s="15"/>
      <c r="ET9" s="15"/>
      <c r="EU9" s="15"/>
      <c r="EV9" s="15"/>
      <c r="EW9" s="15"/>
      <c r="EX9" s="15"/>
      <c r="EY9" s="15"/>
      <c r="EZ9" s="15"/>
      <c r="FA9" s="15"/>
      <c r="FB9" s="15"/>
      <c r="FC9" s="15"/>
      <c r="FD9" s="15"/>
      <c r="FE9" s="15"/>
      <c r="FF9" s="15"/>
      <c r="FG9" s="15"/>
      <c r="FH9" s="15"/>
      <c r="FI9" s="15"/>
      <c r="FJ9" s="15"/>
      <c r="FK9" s="15"/>
      <c r="FL9" s="15"/>
      <c r="FM9" s="15"/>
      <c r="FN9" s="15"/>
      <c r="FO9" s="15"/>
      <c r="FP9" s="15"/>
      <c r="FQ9" s="15"/>
      <c r="FR9" s="15"/>
      <c r="FS9" s="15"/>
      <c r="FT9" s="15"/>
      <c r="FU9" s="15"/>
      <c r="FV9" s="15"/>
      <c r="FW9" s="15"/>
      <c r="FX9" s="15"/>
      <c r="FY9" s="15"/>
      <c r="FZ9" s="15"/>
      <c r="GA9" s="15"/>
      <c r="GB9" s="15"/>
      <c r="GC9" s="15"/>
      <c r="GD9" s="15"/>
      <c r="GE9" s="15"/>
      <c r="GF9" s="15"/>
      <c r="GG9" s="15"/>
      <c r="GH9" s="15"/>
      <c r="GI9" s="15"/>
      <c r="GJ9" s="15"/>
      <c r="GK9" s="15"/>
      <c r="GL9" s="15"/>
      <c r="GM9" s="15"/>
      <c r="GN9" s="15"/>
      <c r="GO9" s="15"/>
      <c r="GP9" s="15"/>
      <c r="GQ9" s="15"/>
      <c r="GR9" s="15"/>
      <c r="GS9" s="15"/>
      <c r="GT9" s="15"/>
      <c r="GU9" s="15"/>
      <c r="GV9" s="15"/>
      <c r="GW9" s="15"/>
      <c r="GX9" s="15"/>
      <c r="GY9" s="15"/>
      <c r="GZ9" s="15"/>
      <c r="HA9" s="15"/>
      <c r="HB9" s="15"/>
      <c r="HC9" s="15"/>
      <c r="HD9" s="15"/>
      <c r="HE9" s="15"/>
      <c r="HF9" s="15"/>
      <c r="HG9" s="15"/>
      <c r="HH9" s="15"/>
      <c r="HI9" s="15"/>
      <c r="HJ9" s="15"/>
      <c r="HK9" s="15"/>
      <c r="HL9" s="15"/>
      <c r="HM9" s="15"/>
      <c r="HN9" s="15"/>
      <c r="HO9" s="15"/>
      <c r="HP9" s="15"/>
      <c r="HQ9" s="15"/>
      <c r="HR9" s="15"/>
      <c r="HS9" s="15"/>
      <c r="HT9" s="15"/>
      <c r="HU9" s="15"/>
      <c r="HV9" s="15"/>
      <c r="HW9" s="15"/>
      <c r="HX9" s="15"/>
      <c r="HY9" s="15"/>
      <c r="HZ9" s="15"/>
      <c r="IA9" s="15"/>
      <c r="IB9" s="15"/>
      <c r="IC9" s="15"/>
      <c r="ID9" s="15"/>
      <c r="IE9" s="15"/>
      <c r="IF9" s="15"/>
      <c r="IG9" s="15"/>
      <c r="IH9" s="15"/>
      <c r="II9" s="15"/>
      <c r="IJ9" s="15"/>
      <c r="IK9" s="15"/>
      <c r="IL9" s="15"/>
      <c r="IM9" s="15"/>
      <c r="IN9" s="15"/>
      <c r="IO9" s="15"/>
      <c r="IP9" s="15"/>
      <c r="IQ9" s="15"/>
      <c r="IR9" s="15"/>
      <c r="IS9" s="15"/>
      <c r="IT9" s="15"/>
      <c r="IU9" s="15"/>
      <c r="IV9" s="15"/>
      <c r="IW9" s="15"/>
      <c r="IX9" s="15"/>
      <c r="IY9" s="15"/>
      <c r="IZ9" s="15"/>
      <c r="JA9" s="15"/>
      <c r="JB9" s="15"/>
      <c r="JC9" s="15"/>
      <c r="JD9" s="15"/>
      <c r="JE9" s="15"/>
      <c r="JF9" s="15"/>
      <c r="JG9" s="15"/>
      <c r="JH9" s="15"/>
      <c r="JI9" s="15"/>
      <c r="JJ9" s="15"/>
      <c r="JK9" s="15"/>
      <c r="JL9" s="15"/>
      <c r="JM9" s="15"/>
      <c r="JN9" s="15"/>
      <c r="JO9" s="15"/>
      <c r="JP9" s="15"/>
      <c r="JQ9" s="15"/>
      <c r="JR9" s="15"/>
      <c r="JS9" s="15"/>
      <c r="JT9" s="15"/>
      <c r="JU9" s="15"/>
      <c r="JV9" s="15"/>
      <c r="JW9" s="15"/>
      <c r="JX9" s="15"/>
      <c r="JY9" s="15"/>
      <c r="JZ9" s="15"/>
      <c r="KA9" s="15"/>
      <c r="KB9" s="15"/>
      <c r="KC9" s="15"/>
      <c r="KD9" s="15"/>
      <c r="KE9" s="15"/>
      <c r="KF9" s="15"/>
      <c r="KG9" s="15"/>
      <c r="KH9" s="15"/>
      <c r="KI9" s="15"/>
      <c r="KJ9" s="15"/>
      <c r="KK9" s="15"/>
      <c r="KL9" s="15"/>
      <c r="KM9" s="15"/>
      <c r="KN9" s="15"/>
      <c r="KO9" s="15"/>
      <c r="KP9" s="15"/>
      <c r="KQ9" s="15"/>
      <c r="KR9" s="15"/>
      <c r="KS9" s="15"/>
      <c r="KT9" s="15"/>
      <c r="KU9" s="15"/>
      <c r="KV9" s="15"/>
      <c r="KW9" s="15"/>
      <c r="KX9" s="15"/>
      <c r="KY9" s="15"/>
      <c r="KZ9" s="15"/>
      <c r="LA9" s="15"/>
      <c r="LB9" s="15"/>
      <c r="LC9" s="15"/>
      <c r="LD9" s="15"/>
      <c r="LE9" s="15"/>
      <c r="LF9" s="15"/>
      <c r="LG9" s="15"/>
      <c r="LH9" s="15"/>
      <c r="LI9" s="15"/>
      <c r="LJ9" s="15"/>
      <c r="LK9" s="15"/>
      <c r="LL9" s="15"/>
      <c r="LM9" s="15"/>
      <c r="LN9" s="15"/>
      <c r="LO9" s="15"/>
      <c r="LP9" s="15"/>
      <c r="LQ9" s="15"/>
      <c r="LR9" s="15"/>
      <c r="LS9" s="15"/>
      <c r="LT9" s="15"/>
      <c r="LU9" s="15"/>
      <c r="LV9" s="15"/>
      <c r="LW9" s="15"/>
      <c r="LX9" s="15"/>
      <c r="LY9" s="15"/>
      <c r="LZ9" s="15"/>
      <c r="MA9" s="15"/>
      <c r="MB9" s="15"/>
      <c r="MC9" s="15"/>
      <c r="MD9" s="15"/>
      <c r="ME9" s="15"/>
      <c r="MF9" s="15"/>
      <c r="MG9" s="15"/>
      <c r="MH9" s="15"/>
      <c r="MI9" s="15"/>
      <c r="MJ9" s="15"/>
      <c r="MK9" s="15"/>
      <c r="ML9" s="15"/>
      <c r="MM9" s="15"/>
      <c r="MN9" s="15"/>
      <c r="MO9" s="15"/>
      <c r="MP9" s="15"/>
      <c r="MQ9" s="15"/>
    </row>
    <row r="10" spans="1:355" s="15" customFormat="1" ht="39.950000000000003" customHeight="1" x14ac:dyDescent="0.25">
      <c r="A10" s="22">
        <v>3</v>
      </c>
      <c r="B10" s="21" t="s">
        <v>5</v>
      </c>
      <c r="C10" s="21">
        <v>400</v>
      </c>
      <c r="D10" s="21">
        <v>800</v>
      </c>
      <c r="E10" s="21">
        <v>320</v>
      </c>
      <c r="F10" s="21">
        <v>65</v>
      </c>
      <c r="G10" s="18">
        <v>500</v>
      </c>
      <c r="H10" s="18">
        <v>0.6</v>
      </c>
      <c r="I10" s="21">
        <v>3</v>
      </c>
      <c r="J10" s="21">
        <v>4</v>
      </c>
      <c r="K10" s="49" t="s">
        <v>53</v>
      </c>
      <c r="L10" s="18">
        <v>593</v>
      </c>
      <c r="M10" s="18">
        <v>0.54</v>
      </c>
      <c r="N10" s="46"/>
      <c r="P10" s="51" t="s">
        <v>28</v>
      </c>
      <c r="Q10" s="55" t="s">
        <v>0</v>
      </c>
      <c r="R10" s="56"/>
      <c r="S10" s="56"/>
      <c r="T10" s="56"/>
      <c r="U10" s="56"/>
      <c r="V10" s="56"/>
      <c r="W10" s="56"/>
      <c r="X10" s="56"/>
      <c r="Y10" s="56"/>
      <c r="Z10" s="57"/>
      <c r="AA10" s="55" t="s">
        <v>1</v>
      </c>
      <c r="AB10" s="56"/>
      <c r="AC10" s="56"/>
      <c r="AD10" s="56"/>
      <c r="AE10" s="56"/>
      <c r="AF10" s="56"/>
      <c r="AG10" s="56"/>
      <c r="AH10" s="56"/>
      <c r="AI10" s="56"/>
      <c r="AJ10" s="57"/>
    </row>
    <row r="11" spans="1:355" s="16" customFormat="1" ht="39.950000000000003" customHeight="1" x14ac:dyDescent="0.25">
      <c r="A11" s="22">
        <v>4</v>
      </c>
      <c r="B11" s="21" t="s">
        <v>55</v>
      </c>
      <c r="C11" s="21">
        <v>600</v>
      </c>
      <c r="D11" s="21">
        <v>600</v>
      </c>
      <c r="E11" s="21">
        <v>280</v>
      </c>
      <c r="F11" s="21">
        <v>55</v>
      </c>
      <c r="G11" s="18">
        <v>750</v>
      </c>
      <c r="H11" s="18">
        <v>0.6</v>
      </c>
      <c r="I11" s="21">
        <v>3</v>
      </c>
      <c r="J11" s="21">
        <v>3</v>
      </c>
      <c r="K11" s="49" t="s">
        <v>52</v>
      </c>
      <c r="L11" s="18">
        <v>825</v>
      </c>
      <c r="M11" s="18">
        <v>0.47</v>
      </c>
      <c r="N11" s="46"/>
      <c r="O11" s="15"/>
      <c r="P11" s="51"/>
      <c r="Q11" s="58"/>
      <c r="R11" s="59"/>
      <c r="S11" s="59"/>
      <c r="T11" s="59"/>
      <c r="U11" s="59"/>
      <c r="V11" s="59"/>
      <c r="W11" s="59"/>
      <c r="X11" s="59"/>
      <c r="Y11" s="59"/>
      <c r="Z11" s="60"/>
      <c r="AA11" s="58"/>
      <c r="AB11" s="59"/>
      <c r="AC11" s="59"/>
      <c r="AD11" s="59"/>
      <c r="AE11" s="59"/>
      <c r="AF11" s="59"/>
      <c r="AG11" s="59"/>
      <c r="AH11" s="59"/>
      <c r="AI11" s="59"/>
      <c r="AJ11" s="60"/>
      <c r="AK11" s="15"/>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15"/>
      <c r="CL11" s="15"/>
      <c r="CM11" s="15"/>
      <c r="CN11" s="15"/>
      <c r="CO11" s="15"/>
      <c r="CP11" s="15"/>
      <c r="CQ11" s="15"/>
      <c r="CR11" s="15"/>
      <c r="CS11" s="15"/>
      <c r="CT11" s="15"/>
      <c r="CU11" s="15"/>
      <c r="CV11" s="15"/>
      <c r="CW11" s="15"/>
      <c r="CX11" s="15"/>
      <c r="CY11" s="15"/>
      <c r="CZ11" s="15"/>
      <c r="DA11" s="15"/>
      <c r="DB11" s="15"/>
      <c r="DC11" s="15"/>
      <c r="DD11" s="15"/>
      <c r="DE11" s="15"/>
      <c r="DF11" s="15"/>
      <c r="DG11" s="15"/>
      <c r="DH11" s="15"/>
      <c r="DI11" s="15"/>
      <c r="DJ11" s="15"/>
      <c r="DK11" s="15"/>
      <c r="DL11" s="15"/>
      <c r="DM11" s="15"/>
      <c r="DN11" s="15"/>
      <c r="DO11" s="15"/>
      <c r="DP11" s="15"/>
      <c r="DQ11" s="15"/>
      <c r="DR11" s="15"/>
      <c r="DS11" s="15"/>
      <c r="DT11" s="15"/>
      <c r="DU11" s="15"/>
      <c r="DV11" s="15"/>
      <c r="DW11" s="15"/>
      <c r="DX11" s="15"/>
      <c r="DY11" s="15"/>
      <c r="DZ11" s="15"/>
      <c r="EA11" s="15"/>
      <c r="EB11" s="15"/>
      <c r="EC11" s="15"/>
      <c r="ED11" s="15"/>
      <c r="EE11" s="15"/>
      <c r="EF11" s="15"/>
      <c r="EG11" s="15"/>
      <c r="EH11" s="15"/>
      <c r="EI11" s="15"/>
      <c r="EJ11" s="15"/>
      <c r="EK11" s="15"/>
      <c r="EL11" s="15"/>
      <c r="EM11" s="15"/>
      <c r="EN11" s="15"/>
      <c r="EO11" s="15"/>
      <c r="EP11" s="15"/>
      <c r="EQ11" s="15"/>
      <c r="ER11" s="15"/>
      <c r="ES11" s="15"/>
      <c r="ET11" s="15"/>
      <c r="EU11" s="15"/>
      <c r="EV11" s="15"/>
      <c r="EW11" s="15"/>
      <c r="EX11" s="15"/>
      <c r="EY11" s="15"/>
      <c r="EZ11" s="15"/>
      <c r="FA11" s="15"/>
      <c r="FB11" s="15"/>
      <c r="FC11" s="15"/>
      <c r="FD11" s="15"/>
      <c r="FE11" s="15"/>
      <c r="FF11" s="15"/>
      <c r="FG11" s="15"/>
      <c r="FH11" s="15"/>
      <c r="FI11" s="15"/>
      <c r="FJ11" s="15"/>
      <c r="FK11" s="15"/>
      <c r="FL11" s="15"/>
      <c r="FM11" s="15"/>
      <c r="FN11" s="15"/>
      <c r="FO11" s="15"/>
      <c r="FP11" s="15"/>
      <c r="FQ11" s="15"/>
      <c r="FR11" s="15"/>
      <c r="FS11" s="15"/>
      <c r="FT11" s="15"/>
      <c r="FU11" s="15"/>
      <c r="FV11" s="15"/>
      <c r="FW11" s="15"/>
      <c r="FX11" s="15"/>
      <c r="FY11" s="15"/>
      <c r="FZ11" s="15"/>
      <c r="GA11" s="15"/>
      <c r="GB11" s="15"/>
      <c r="GC11" s="15"/>
      <c r="GD11" s="15"/>
      <c r="GE11" s="15"/>
      <c r="GF11" s="15"/>
      <c r="GG11" s="15"/>
      <c r="GH11" s="15"/>
      <c r="GI11" s="15"/>
      <c r="GJ11" s="15"/>
      <c r="GK11" s="15"/>
      <c r="GL11" s="15"/>
      <c r="GM11" s="15"/>
      <c r="GN11" s="15"/>
      <c r="GO11" s="15"/>
      <c r="GP11" s="15"/>
      <c r="GQ11" s="15"/>
      <c r="GR11" s="15"/>
      <c r="GS11" s="15"/>
      <c r="GT11" s="15"/>
      <c r="GU11" s="15"/>
      <c r="GV11" s="15"/>
      <c r="GW11" s="15"/>
      <c r="GX11" s="15"/>
      <c r="GY11" s="15"/>
      <c r="GZ11" s="15"/>
      <c r="HA11" s="15"/>
      <c r="HB11" s="15"/>
      <c r="HC11" s="15"/>
      <c r="HD11" s="15"/>
      <c r="HE11" s="15"/>
      <c r="HF11" s="15"/>
      <c r="HG11" s="15"/>
      <c r="HH11" s="15"/>
      <c r="HI11" s="15"/>
      <c r="HJ11" s="15"/>
      <c r="HK11" s="15"/>
      <c r="HL11" s="15"/>
      <c r="HM11" s="15"/>
      <c r="HN11" s="15"/>
      <c r="HO11" s="15"/>
      <c r="HP11" s="15"/>
      <c r="HQ11" s="15"/>
      <c r="HR11" s="15"/>
      <c r="HS11" s="15"/>
      <c r="HT11" s="15"/>
      <c r="HU11" s="15"/>
      <c r="HV11" s="15"/>
      <c r="HW11" s="15"/>
      <c r="HX11" s="15"/>
      <c r="HY11" s="15"/>
      <c r="HZ11" s="15"/>
      <c r="IA11" s="15"/>
      <c r="IB11" s="15"/>
      <c r="IC11" s="15"/>
      <c r="ID11" s="15"/>
      <c r="IE11" s="15"/>
      <c r="IF11" s="15"/>
      <c r="IG11" s="15"/>
      <c r="IH11" s="15"/>
      <c r="II11" s="15"/>
      <c r="IJ11" s="15"/>
      <c r="IK11" s="15"/>
      <c r="IL11" s="15"/>
      <c r="IM11" s="15"/>
      <c r="IN11" s="15"/>
      <c r="IO11" s="15"/>
      <c r="IP11" s="15"/>
      <c r="IQ11" s="15"/>
      <c r="IR11" s="15"/>
      <c r="IS11" s="15"/>
      <c r="IT11" s="15"/>
      <c r="IU11" s="15"/>
      <c r="IV11" s="15"/>
      <c r="IW11" s="15"/>
      <c r="IX11" s="15"/>
      <c r="IY11" s="15"/>
      <c r="IZ11" s="15"/>
      <c r="JA11" s="15"/>
      <c r="JB11" s="15"/>
      <c r="JC11" s="15"/>
      <c r="JD11" s="15"/>
      <c r="JE11" s="15"/>
      <c r="JF11" s="15"/>
      <c r="JG11" s="15"/>
      <c r="JH11" s="15"/>
      <c r="JI11" s="15"/>
      <c r="JJ11" s="15"/>
      <c r="JK11" s="15"/>
      <c r="JL11" s="15"/>
      <c r="JM11" s="15"/>
      <c r="JN11" s="15"/>
      <c r="JO11" s="15"/>
      <c r="JP11" s="15"/>
      <c r="JQ11" s="15"/>
      <c r="JR11" s="15"/>
      <c r="JS11" s="15"/>
      <c r="JT11" s="15"/>
      <c r="JU11" s="15"/>
      <c r="JV11" s="15"/>
      <c r="JW11" s="15"/>
      <c r="JX11" s="15"/>
      <c r="JY11" s="15"/>
      <c r="JZ11" s="15"/>
      <c r="KA11" s="15"/>
      <c r="KB11" s="15"/>
      <c r="KC11" s="15"/>
      <c r="KD11" s="15"/>
      <c r="KE11" s="15"/>
      <c r="KF11" s="15"/>
      <c r="KG11" s="15"/>
      <c r="KH11" s="15"/>
      <c r="KI11" s="15"/>
      <c r="KJ11" s="15"/>
      <c r="KK11" s="15"/>
      <c r="KL11" s="15"/>
      <c r="KM11" s="15"/>
      <c r="KN11" s="15"/>
      <c r="KO11" s="15"/>
      <c r="KP11" s="15"/>
      <c r="KQ11" s="15"/>
      <c r="KR11" s="15"/>
      <c r="KS11" s="15"/>
      <c r="KT11" s="15"/>
      <c r="KU11" s="15"/>
      <c r="KV11" s="15"/>
      <c r="KW11" s="15"/>
      <c r="KX11" s="15"/>
      <c r="KY11" s="15"/>
      <c r="KZ11" s="15"/>
      <c r="LA11" s="15"/>
      <c r="LB11" s="15"/>
      <c r="LC11" s="15"/>
      <c r="LD11" s="15"/>
      <c r="LE11" s="15"/>
      <c r="LF11" s="15"/>
      <c r="LG11" s="15"/>
      <c r="LH11" s="15"/>
      <c r="LI11" s="15"/>
      <c r="LJ11" s="15"/>
      <c r="LK11" s="15"/>
      <c r="LL11" s="15"/>
      <c r="LM11" s="15"/>
      <c r="LN11" s="15"/>
      <c r="LO11" s="15"/>
      <c r="LP11" s="15"/>
      <c r="LQ11" s="15"/>
      <c r="LR11" s="15"/>
      <c r="LS11" s="15"/>
      <c r="LT11" s="15"/>
      <c r="LU11" s="15"/>
      <c r="LV11" s="15"/>
      <c r="LW11" s="15"/>
      <c r="LX11" s="15"/>
      <c r="LY11" s="15"/>
      <c r="LZ11" s="15"/>
      <c r="MA11" s="15"/>
      <c r="MB11" s="15"/>
      <c r="MC11" s="15"/>
      <c r="MD11" s="15"/>
      <c r="ME11" s="15"/>
      <c r="MF11" s="15"/>
      <c r="MG11" s="15"/>
      <c r="MH11" s="15"/>
      <c r="MI11" s="15"/>
      <c r="MJ11" s="15"/>
      <c r="MK11" s="15"/>
      <c r="ML11" s="15"/>
      <c r="MM11" s="15"/>
      <c r="MN11" s="15"/>
      <c r="MO11" s="15"/>
      <c r="MP11" s="15"/>
      <c r="MQ11" s="15"/>
    </row>
    <row r="12" spans="1:355" s="17" customFormat="1" ht="39.950000000000003" customHeight="1" x14ac:dyDescent="0.25">
      <c r="A12" s="22">
        <v>5</v>
      </c>
      <c r="B12" s="21" t="s">
        <v>56</v>
      </c>
      <c r="C12" s="21">
        <v>800</v>
      </c>
      <c r="D12" s="21">
        <v>600</v>
      </c>
      <c r="E12" s="21">
        <v>380</v>
      </c>
      <c r="F12" s="21">
        <v>75</v>
      </c>
      <c r="G12" s="18">
        <v>650</v>
      </c>
      <c r="H12" s="18">
        <v>0.4</v>
      </c>
      <c r="I12" s="21">
        <v>3</v>
      </c>
      <c r="J12" s="21">
        <v>3</v>
      </c>
      <c r="K12" s="49" t="s">
        <v>76</v>
      </c>
      <c r="L12" s="18">
        <v>740</v>
      </c>
      <c r="M12" s="18">
        <v>0.56999999999999995</v>
      </c>
      <c r="N12" s="46"/>
      <c r="O12" s="15"/>
      <c r="P12" s="2" t="s">
        <v>70</v>
      </c>
      <c r="Q12" s="43">
        <f>G8/L8</f>
        <v>0.99403578528827041</v>
      </c>
      <c r="R12" s="43">
        <f>G14/L14</f>
        <v>0.88183421516754845</v>
      </c>
      <c r="S12" s="43">
        <f>G22/L22</f>
        <v>0.82236842105263153</v>
      </c>
      <c r="T12" s="43">
        <f>L23/G23</f>
        <v>0.97428571428571431</v>
      </c>
      <c r="U12" s="43">
        <f>G29/L29</f>
        <v>0.96153846153846156</v>
      </c>
      <c r="V12" s="43">
        <f>G30/L30</f>
        <v>0.97799511002444983</v>
      </c>
      <c r="W12" s="43">
        <f>L36/G36</f>
        <v>0.92800000000000005</v>
      </c>
      <c r="X12" s="44"/>
      <c r="Y12" s="44"/>
      <c r="Z12" s="44"/>
      <c r="AA12" s="43">
        <f>M8/H8</f>
        <v>0.88333333333333341</v>
      </c>
      <c r="AB12" s="43">
        <f>M14/H14</f>
        <v>0.90000000000000013</v>
      </c>
      <c r="AC12" s="43">
        <f>H22/M22</f>
        <v>0.94827586206896564</v>
      </c>
      <c r="AD12" s="43">
        <f>H23/M23</f>
        <v>0.96153846153846145</v>
      </c>
      <c r="AE12" s="43">
        <f>H29/M29</f>
        <v>0.92592592592592582</v>
      </c>
      <c r="AF12" s="43">
        <f>M30/H30</f>
        <v>0.83333333333333337</v>
      </c>
      <c r="AG12" s="43">
        <f>M36/H36</f>
        <v>0.78333333333333333</v>
      </c>
      <c r="AH12" s="44"/>
      <c r="AI12" s="44"/>
      <c r="AJ12" s="44"/>
      <c r="AK12" s="15"/>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15"/>
      <c r="CL12" s="15"/>
      <c r="CM12" s="15"/>
      <c r="CN12" s="15"/>
      <c r="CO12" s="15"/>
      <c r="CP12" s="15"/>
      <c r="CQ12" s="15"/>
      <c r="CR12" s="15"/>
      <c r="CS12" s="15"/>
      <c r="CT12" s="15"/>
      <c r="CU12" s="15"/>
      <c r="CV12" s="15"/>
      <c r="CW12" s="15"/>
      <c r="CX12" s="15"/>
      <c r="CY12" s="15"/>
      <c r="CZ12" s="15"/>
      <c r="DA12" s="15"/>
      <c r="DB12" s="15"/>
      <c r="DC12" s="15"/>
      <c r="DD12" s="15"/>
      <c r="DE12" s="15"/>
      <c r="DF12" s="15"/>
      <c r="DG12" s="15"/>
      <c r="DH12" s="15"/>
      <c r="DI12" s="15"/>
      <c r="DJ12" s="15"/>
      <c r="DK12" s="15"/>
      <c r="DL12" s="15"/>
      <c r="DM12" s="15"/>
      <c r="DN12" s="15"/>
      <c r="DO12" s="15"/>
      <c r="DP12" s="15"/>
      <c r="DQ12" s="15"/>
      <c r="DR12" s="15"/>
      <c r="DS12" s="15"/>
      <c r="DT12" s="15"/>
      <c r="DU12" s="15"/>
      <c r="DV12" s="15"/>
      <c r="DW12" s="15"/>
      <c r="DX12" s="15"/>
      <c r="DY12" s="15"/>
      <c r="DZ12" s="15"/>
      <c r="EA12" s="15"/>
      <c r="EB12" s="15"/>
      <c r="EC12" s="15"/>
      <c r="ED12" s="15"/>
      <c r="EE12" s="15"/>
      <c r="EF12" s="15"/>
      <c r="EG12" s="15"/>
      <c r="EH12" s="15"/>
      <c r="EI12" s="15"/>
      <c r="EJ12" s="15"/>
      <c r="EK12" s="15"/>
      <c r="EL12" s="15"/>
      <c r="EM12" s="15"/>
      <c r="EN12" s="15"/>
      <c r="EO12" s="15"/>
      <c r="EP12" s="15"/>
      <c r="EQ12" s="15"/>
      <c r="ER12" s="15"/>
      <c r="ES12" s="15"/>
      <c r="ET12" s="15"/>
      <c r="EU12" s="15"/>
      <c r="EV12" s="15"/>
      <c r="EW12" s="15"/>
      <c r="EX12" s="15"/>
      <c r="EY12" s="15"/>
      <c r="EZ12" s="15"/>
      <c r="FA12" s="15"/>
      <c r="FB12" s="15"/>
      <c r="FC12" s="15"/>
      <c r="FD12" s="15"/>
      <c r="FE12" s="15"/>
      <c r="FF12" s="15"/>
      <c r="FG12" s="15"/>
      <c r="FH12" s="15"/>
      <c r="FI12" s="15"/>
      <c r="FJ12" s="15"/>
      <c r="FK12" s="15"/>
      <c r="FL12" s="15"/>
      <c r="FM12" s="15"/>
      <c r="FN12" s="15"/>
      <c r="FO12" s="15"/>
      <c r="FP12" s="15"/>
      <c r="FQ12" s="15"/>
      <c r="FR12" s="15"/>
      <c r="FS12" s="15"/>
      <c r="FT12" s="15"/>
      <c r="FU12" s="15"/>
      <c r="FV12" s="15"/>
      <c r="FW12" s="15"/>
      <c r="FX12" s="15"/>
      <c r="FY12" s="15"/>
      <c r="FZ12" s="15"/>
      <c r="GA12" s="15"/>
      <c r="GB12" s="15"/>
      <c r="GC12" s="15"/>
      <c r="GD12" s="15"/>
      <c r="GE12" s="15"/>
      <c r="GF12" s="15"/>
      <c r="GG12" s="15"/>
      <c r="GH12" s="15"/>
      <c r="GI12" s="15"/>
      <c r="GJ12" s="15"/>
      <c r="GK12" s="15"/>
      <c r="GL12" s="15"/>
      <c r="GM12" s="15"/>
      <c r="GN12" s="15"/>
      <c r="GO12" s="15"/>
      <c r="GP12" s="15"/>
      <c r="GQ12" s="15"/>
      <c r="GR12" s="15"/>
      <c r="GS12" s="15"/>
      <c r="GT12" s="15"/>
      <c r="GU12" s="15"/>
      <c r="GV12" s="15"/>
      <c r="GW12" s="15"/>
      <c r="GX12" s="15"/>
      <c r="GY12" s="15"/>
      <c r="GZ12" s="15"/>
      <c r="HA12" s="15"/>
      <c r="HB12" s="15"/>
      <c r="HC12" s="15"/>
      <c r="HD12" s="15"/>
      <c r="HE12" s="15"/>
      <c r="HF12" s="15"/>
      <c r="HG12" s="15"/>
      <c r="HH12" s="15"/>
      <c r="HI12" s="15"/>
      <c r="HJ12" s="15"/>
      <c r="HK12" s="15"/>
      <c r="HL12" s="15"/>
      <c r="HM12" s="15"/>
      <c r="HN12" s="15"/>
      <c r="HO12" s="15"/>
      <c r="HP12" s="15"/>
      <c r="HQ12" s="15"/>
      <c r="HR12" s="15"/>
      <c r="HS12" s="15"/>
      <c r="HT12" s="15"/>
      <c r="HU12" s="15"/>
      <c r="HV12" s="15"/>
      <c r="HW12" s="15"/>
      <c r="HX12" s="15"/>
      <c r="HY12" s="15"/>
      <c r="HZ12" s="15"/>
      <c r="IA12" s="15"/>
      <c r="IB12" s="15"/>
      <c r="IC12" s="15"/>
      <c r="ID12" s="15"/>
      <c r="IE12" s="15"/>
      <c r="IF12" s="15"/>
      <c r="IG12" s="15"/>
      <c r="IH12" s="15"/>
      <c r="II12" s="15"/>
      <c r="IJ12" s="15"/>
      <c r="IK12" s="15"/>
      <c r="IL12" s="15"/>
      <c r="IM12" s="15"/>
      <c r="IN12" s="15"/>
      <c r="IO12" s="15"/>
      <c r="IP12" s="15"/>
      <c r="IQ12" s="15"/>
      <c r="IR12" s="15"/>
      <c r="IS12" s="15"/>
      <c r="IT12" s="15"/>
      <c r="IU12" s="15"/>
      <c r="IV12" s="15"/>
      <c r="IW12" s="15"/>
      <c r="IX12" s="15"/>
      <c r="IY12" s="15"/>
      <c r="IZ12" s="15"/>
      <c r="JA12" s="15"/>
      <c r="JB12" s="15"/>
      <c r="JC12" s="15"/>
      <c r="JD12" s="15"/>
      <c r="JE12" s="15"/>
      <c r="JF12" s="15"/>
      <c r="JG12" s="15"/>
      <c r="JH12" s="15"/>
      <c r="JI12" s="15"/>
      <c r="JJ12" s="15"/>
      <c r="JK12" s="15"/>
      <c r="JL12" s="15"/>
      <c r="JM12" s="15"/>
      <c r="JN12" s="15"/>
      <c r="JO12" s="15"/>
      <c r="JP12" s="15"/>
      <c r="JQ12" s="15"/>
      <c r="JR12" s="15"/>
      <c r="JS12" s="15"/>
      <c r="JT12" s="15"/>
      <c r="JU12" s="15"/>
      <c r="JV12" s="15"/>
      <c r="JW12" s="15"/>
      <c r="JX12" s="15"/>
      <c r="JY12" s="15"/>
      <c r="JZ12" s="15"/>
      <c r="KA12" s="15"/>
      <c r="KB12" s="15"/>
      <c r="KC12" s="15"/>
      <c r="KD12" s="15"/>
      <c r="KE12" s="15"/>
      <c r="KF12" s="15"/>
      <c r="KG12" s="15"/>
      <c r="KH12" s="15"/>
      <c r="KI12" s="15"/>
      <c r="KJ12" s="15"/>
      <c r="KK12" s="15"/>
      <c r="KL12" s="15"/>
      <c r="KM12" s="15"/>
      <c r="KN12" s="15"/>
      <c r="KO12" s="15"/>
      <c r="KP12" s="15"/>
      <c r="KQ12" s="15"/>
      <c r="KR12" s="15"/>
      <c r="KS12" s="15"/>
      <c r="KT12" s="15"/>
      <c r="KU12" s="15"/>
      <c r="KV12" s="15"/>
      <c r="KW12" s="15"/>
      <c r="KX12" s="15"/>
      <c r="KY12" s="15"/>
      <c r="KZ12" s="15"/>
      <c r="LA12" s="15"/>
      <c r="LB12" s="15"/>
      <c r="LC12" s="15"/>
      <c r="LD12" s="15"/>
      <c r="LE12" s="15"/>
      <c r="LF12" s="15"/>
      <c r="LG12" s="15"/>
      <c r="LH12" s="15"/>
      <c r="LI12" s="15"/>
      <c r="LJ12" s="15"/>
      <c r="LK12" s="15"/>
      <c r="LL12" s="15"/>
      <c r="LM12" s="15"/>
      <c r="LN12" s="15"/>
      <c r="LO12" s="15"/>
      <c r="LP12" s="15"/>
      <c r="LQ12" s="15"/>
      <c r="LR12" s="15"/>
      <c r="LS12" s="15"/>
      <c r="LT12" s="15"/>
      <c r="LU12" s="15"/>
      <c r="LV12" s="15"/>
      <c r="LW12" s="15"/>
      <c r="LX12" s="15"/>
      <c r="LY12" s="15"/>
      <c r="LZ12" s="15"/>
      <c r="MA12" s="15"/>
      <c r="MB12" s="15"/>
      <c r="MC12" s="15"/>
      <c r="MD12" s="15"/>
      <c r="ME12" s="15"/>
      <c r="MF12" s="15"/>
      <c r="MG12" s="15"/>
      <c r="MH12" s="15"/>
      <c r="MI12" s="15"/>
      <c r="MJ12" s="15"/>
      <c r="MK12" s="15"/>
      <c r="ML12" s="15"/>
      <c r="MM12" s="15"/>
      <c r="MN12" s="15"/>
      <c r="MO12" s="15"/>
      <c r="MP12" s="15"/>
      <c r="MQ12" s="15"/>
    </row>
    <row r="13" spans="1:355" s="15" customFormat="1" ht="39.950000000000003" customHeight="1" x14ac:dyDescent="0.25">
      <c r="A13" s="22">
        <v>6</v>
      </c>
      <c r="B13" s="21" t="s">
        <v>5</v>
      </c>
      <c r="C13" s="21">
        <v>200</v>
      </c>
      <c r="D13" s="21">
        <v>800</v>
      </c>
      <c r="E13" s="21">
        <v>250</v>
      </c>
      <c r="F13" s="21">
        <v>60</v>
      </c>
      <c r="G13" s="18">
        <v>150</v>
      </c>
      <c r="H13" s="18">
        <v>0.4</v>
      </c>
      <c r="I13" s="21">
        <v>1</v>
      </c>
      <c r="J13" s="21">
        <v>4</v>
      </c>
      <c r="K13" s="49" t="s">
        <v>49</v>
      </c>
      <c r="L13" s="18">
        <v>158</v>
      </c>
      <c r="M13" s="18">
        <v>0.49</v>
      </c>
      <c r="N13" s="46"/>
      <c r="P13" s="3" t="s">
        <v>56</v>
      </c>
      <c r="Q13" s="43">
        <f>G12/L12</f>
        <v>0.8783783783783784</v>
      </c>
      <c r="R13" s="43">
        <f>L18/G18</f>
        <v>0.98857142857142855</v>
      </c>
      <c r="S13" s="43">
        <f>G26/L26</f>
        <v>0.96649484536082475</v>
      </c>
      <c r="T13" s="43">
        <f>G28/L28</f>
        <v>0.8875739644970414</v>
      </c>
      <c r="U13" s="43">
        <f>G33/L33</f>
        <v>0.9650180940892642</v>
      </c>
      <c r="V13" s="43">
        <f>L34/G34</f>
        <v>0.9872727272727273</v>
      </c>
      <c r="W13" s="44"/>
      <c r="X13" s="44"/>
      <c r="Y13" s="44"/>
      <c r="Z13" s="44"/>
      <c r="AA13" s="43">
        <f>H12/M12</f>
        <v>0.70175438596491235</v>
      </c>
      <c r="AB13" s="43">
        <f>H18/M18</f>
        <v>0.98039215686274506</v>
      </c>
      <c r="AC13" s="43">
        <f>H26/M26</f>
        <v>0.94827586206896564</v>
      </c>
      <c r="AD13" s="43">
        <f>M28/H28</f>
        <v>0.78181818181818175</v>
      </c>
      <c r="AE13" s="43">
        <f>M33/H33</f>
        <v>0.92727272727272725</v>
      </c>
      <c r="AF13" s="43">
        <f>H34/M34</f>
        <v>0.98360655737704916</v>
      </c>
      <c r="AG13" s="44"/>
      <c r="AH13" s="44"/>
      <c r="AI13" s="44"/>
      <c r="AJ13" s="44"/>
    </row>
    <row r="14" spans="1:355" s="15" customFormat="1" ht="39.950000000000003" customHeight="1" x14ac:dyDescent="0.25">
      <c r="A14" s="22">
        <v>7</v>
      </c>
      <c r="B14" s="27" t="s">
        <v>54</v>
      </c>
      <c r="C14" s="21">
        <v>650</v>
      </c>
      <c r="D14" s="21">
        <v>800</v>
      </c>
      <c r="E14" s="21">
        <v>350</v>
      </c>
      <c r="F14" s="21">
        <v>60</v>
      </c>
      <c r="G14" s="18">
        <v>500</v>
      </c>
      <c r="H14" s="18">
        <v>0.6</v>
      </c>
      <c r="I14" s="21">
        <v>3</v>
      </c>
      <c r="J14" s="21">
        <v>4</v>
      </c>
      <c r="K14" s="49" t="s">
        <v>80</v>
      </c>
      <c r="L14" s="18">
        <v>567</v>
      </c>
      <c r="M14" s="18">
        <v>0.54</v>
      </c>
      <c r="N14" s="46"/>
      <c r="P14" s="2" t="s">
        <v>55</v>
      </c>
      <c r="Q14" s="43">
        <f>G9/L9</f>
        <v>0.87565674255691772</v>
      </c>
      <c r="R14" s="43">
        <f>G11/L11</f>
        <v>0.90909090909090906</v>
      </c>
      <c r="S14" s="43">
        <f>L15/G15</f>
        <v>0.96</v>
      </c>
      <c r="T14" s="43">
        <f>G17/L17</f>
        <v>0.92936802973977695</v>
      </c>
      <c r="U14" s="43">
        <f>G20/L20</f>
        <v>0.62240663900414939</v>
      </c>
      <c r="V14" s="43">
        <f>L21/G21</f>
        <v>0.93333333333333335</v>
      </c>
      <c r="W14" s="43">
        <f>L24/G24</f>
        <v>0.99333333333333329</v>
      </c>
      <c r="X14" s="43">
        <f>G27/L27</f>
        <v>0.89445438282647582</v>
      </c>
      <c r="Y14" s="43">
        <f>G32/L32</f>
        <v>0.79239302694136293</v>
      </c>
      <c r="Z14" s="43">
        <f>G37/L37</f>
        <v>0.92807424593967514</v>
      </c>
      <c r="AA14" s="43">
        <f>M9/H9</f>
        <v>0.91666666666666674</v>
      </c>
      <c r="AB14" s="43">
        <f>M11/H11</f>
        <v>0.78333333333333333</v>
      </c>
      <c r="AC14" s="43">
        <f>M15/H15</f>
        <v>0.89230769230769225</v>
      </c>
      <c r="AD14" s="43">
        <f>M17/H17</f>
        <v>0.98333333333333328</v>
      </c>
      <c r="AE14" s="43">
        <f>H20/M20</f>
        <v>0.634920634920635</v>
      </c>
      <c r="AF14" s="43">
        <f>M21/H21</f>
        <v>0.98333333333333328</v>
      </c>
      <c r="AG14" s="43">
        <f>M24/H24</f>
        <v>0.98333333333333328</v>
      </c>
      <c r="AH14" s="43">
        <f>M27/H27</f>
        <v>0.98333333333333328</v>
      </c>
      <c r="AI14" s="43">
        <f>M32/H32</f>
        <v>0.81666666666666665</v>
      </c>
      <c r="AJ14" s="43">
        <f>M37/H37</f>
        <v>0.8666666666666667</v>
      </c>
    </row>
    <row r="15" spans="1:355" s="16" customFormat="1" ht="39.950000000000003" customHeight="1" x14ac:dyDescent="0.25">
      <c r="A15" s="22">
        <v>8</v>
      </c>
      <c r="B15" s="21" t="s">
        <v>55</v>
      </c>
      <c r="C15" s="21">
        <v>450</v>
      </c>
      <c r="D15" s="21">
        <v>750</v>
      </c>
      <c r="E15" s="21">
        <v>300</v>
      </c>
      <c r="F15" s="21">
        <v>50</v>
      </c>
      <c r="G15" s="18">
        <v>450</v>
      </c>
      <c r="H15" s="18">
        <v>0.65</v>
      </c>
      <c r="I15" s="21">
        <v>2</v>
      </c>
      <c r="J15" s="21">
        <v>4</v>
      </c>
      <c r="K15" s="49" t="s">
        <v>51</v>
      </c>
      <c r="L15" s="18">
        <v>432</v>
      </c>
      <c r="M15" s="18">
        <v>0.57999999999999996</v>
      </c>
      <c r="N15" s="46"/>
      <c r="O15" s="15"/>
      <c r="P15" s="3" t="s">
        <v>71</v>
      </c>
      <c r="Q15" s="43">
        <f>G10/L10</f>
        <v>0.84317032040472173</v>
      </c>
      <c r="R15" s="43">
        <f>G13/L13</f>
        <v>0.94936708860759489</v>
      </c>
      <c r="S15" s="43">
        <f>G16/L16</f>
        <v>0.77951002227171495</v>
      </c>
      <c r="T15" s="43">
        <f>G19/L19</f>
        <v>0.75376884422110557</v>
      </c>
      <c r="U15" s="43">
        <f>L25/G25</f>
        <v>0.76333333333333331</v>
      </c>
      <c r="V15" s="43">
        <f>L31/G31</f>
        <v>0.82499999999999996</v>
      </c>
      <c r="W15" s="43">
        <f>G35/L35</f>
        <v>0.92592592592592593</v>
      </c>
      <c r="X15" s="44"/>
      <c r="Y15" s="44"/>
      <c r="Z15" s="44"/>
      <c r="AA15" s="43">
        <f>M10/H10</f>
        <v>0.90000000000000013</v>
      </c>
      <c r="AB15" s="43">
        <f>H13/M13</f>
        <v>0.81632653061224492</v>
      </c>
      <c r="AC15" s="43">
        <f>M16/H16</f>
        <v>0.95</v>
      </c>
      <c r="AD15" s="43">
        <f>H19/M19</f>
        <v>0.86956521739130432</v>
      </c>
      <c r="AE15" s="43">
        <f>M25/H25</f>
        <v>0.76666666666666672</v>
      </c>
      <c r="AF15" s="43">
        <f>M31/H31</f>
        <v>0.8666666666666667</v>
      </c>
      <c r="AG15" s="43">
        <f>H35/M35</f>
        <v>0.86538461538461542</v>
      </c>
      <c r="AH15" s="44"/>
      <c r="AI15" s="44"/>
      <c r="AJ15" s="44"/>
      <c r="AK15" s="15"/>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c r="EH15" s="15"/>
      <c r="EI15" s="15"/>
      <c r="EJ15" s="15"/>
      <c r="EK15" s="15"/>
      <c r="EL15" s="15"/>
      <c r="EM15" s="15"/>
      <c r="EN15" s="15"/>
      <c r="EO15" s="15"/>
      <c r="EP15" s="15"/>
      <c r="EQ15" s="15"/>
      <c r="ER15" s="15"/>
      <c r="ES15" s="15"/>
      <c r="ET15" s="15"/>
      <c r="EU15" s="15"/>
      <c r="EV15" s="15"/>
      <c r="EW15" s="15"/>
      <c r="EX15" s="15"/>
      <c r="EY15" s="15"/>
      <c r="EZ15" s="15"/>
      <c r="FA15" s="15"/>
      <c r="FB15" s="15"/>
      <c r="FC15" s="15"/>
      <c r="FD15" s="15"/>
      <c r="FE15" s="15"/>
      <c r="FF15" s="15"/>
      <c r="FG15" s="15"/>
      <c r="FH15" s="15"/>
      <c r="FI15" s="15"/>
      <c r="FJ15" s="15"/>
      <c r="FK15" s="15"/>
      <c r="FL15" s="15"/>
      <c r="FM15" s="15"/>
      <c r="FN15" s="15"/>
      <c r="FO15" s="15"/>
      <c r="FP15" s="15"/>
      <c r="FQ15" s="15"/>
      <c r="FR15" s="15"/>
      <c r="FS15" s="15"/>
      <c r="FT15" s="15"/>
      <c r="FU15" s="15"/>
      <c r="FV15" s="15"/>
      <c r="FW15" s="15"/>
      <c r="FX15" s="15"/>
      <c r="FY15" s="15"/>
      <c r="FZ15" s="15"/>
      <c r="GA15" s="15"/>
      <c r="GB15" s="15"/>
      <c r="GC15" s="15"/>
      <c r="GD15" s="15"/>
      <c r="GE15" s="15"/>
      <c r="GF15" s="15"/>
      <c r="GG15" s="15"/>
      <c r="GH15" s="15"/>
      <c r="GI15" s="15"/>
      <c r="GJ15" s="15"/>
      <c r="GK15" s="15"/>
      <c r="GL15" s="15"/>
      <c r="GM15" s="15"/>
      <c r="GN15" s="15"/>
      <c r="GO15" s="15"/>
      <c r="GP15" s="15"/>
      <c r="GQ15" s="15"/>
      <c r="GR15" s="15"/>
      <c r="GS15" s="15"/>
      <c r="GT15" s="15"/>
      <c r="GU15" s="15"/>
      <c r="GV15" s="15"/>
      <c r="GW15" s="15"/>
      <c r="GX15" s="15"/>
      <c r="GY15" s="15"/>
      <c r="GZ15" s="15"/>
      <c r="HA15" s="15"/>
      <c r="HB15" s="15"/>
      <c r="HC15" s="15"/>
      <c r="HD15" s="15"/>
      <c r="HE15" s="15"/>
      <c r="HF15" s="15"/>
      <c r="HG15" s="15"/>
      <c r="HH15" s="15"/>
      <c r="HI15" s="15"/>
      <c r="HJ15" s="15"/>
      <c r="HK15" s="15"/>
      <c r="HL15" s="15"/>
      <c r="HM15" s="15"/>
      <c r="HN15" s="15"/>
      <c r="HO15" s="15"/>
      <c r="HP15" s="15"/>
      <c r="HQ15" s="15"/>
      <c r="HR15" s="15"/>
      <c r="HS15" s="15"/>
      <c r="HT15" s="15"/>
      <c r="HU15" s="15"/>
      <c r="HV15" s="15"/>
      <c r="HW15" s="15"/>
      <c r="HX15" s="15"/>
      <c r="HY15" s="15"/>
      <c r="HZ15" s="15"/>
      <c r="IA15" s="15"/>
      <c r="IB15" s="15"/>
      <c r="IC15" s="15"/>
      <c r="ID15" s="15"/>
      <c r="IE15" s="15"/>
      <c r="IF15" s="15"/>
      <c r="IG15" s="15"/>
      <c r="IH15" s="15"/>
      <c r="II15" s="15"/>
      <c r="IJ15" s="15"/>
      <c r="IK15" s="15"/>
      <c r="IL15" s="15"/>
      <c r="IM15" s="15"/>
      <c r="IN15" s="15"/>
      <c r="IO15" s="15"/>
      <c r="IP15" s="15"/>
      <c r="IQ15" s="15"/>
      <c r="IR15" s="15"/>
      <c r="IS15" s="15"/>
      <c r="IT15" s="15"/>
      <c r="IU15" s="15"/>
      <c r="IV15" s="15"/>
      <c r="IW15" s="15"/>
      <c r="IX15" s="15"/>
      <c r="IY15" s="15"/>
      <c r="IZ15" s="15"/>
      <c r="JA15" s="15"/>
      <c r="JB15" s="15"/>
      <c r="JC15" s="15"/>
      <c r="JD15" s="15"/>
      <c r="JE15" s="15"/>
      <c r="JF15" s="15"/>
      <c r="JG15" s="15"/>
      <c r="JH15" s="15"/>
      <c r="JI15" s="15"/>
      <c r="JJ15" s="15"/>
      <c r="JK15" s="15"/>
      <c r="JL15" s="15"/>
      <c r="JM15" s="15"/>
      <c r="JN15" s="15"/>
      <c r="JO15" s="15"/>
      <c r="JP15" s="15"/>
      <c r="JQ15" s="15"/>
      <c r="JR15" s="15"/>
      <c r="JS15" s="15"/>
      <c r="JT15" s="15"/>
      <c r="JU15" s="15"/>
      <c r="JV15" s="15"/>
      <c r="JW15" s="15"/>
      <c r="JX15" s="15"/>
      <c r="JY15" s="15"/>
      <c r="JZ15" s="15"/>
      <c r="KA15" s="15"/>
      <c r="KB15" s="15"/>
      <c r="KC15" s="15"/>
      <c r="KD15" s="15"/>
      <c r="KE15" s="15"/>
      <c r="KF15" s="15"/>
      <c r="KG15" s="15"/>
      <c r="KH15" s="15"/>
      <c r="KI15" s="15"/>
      <c r="KJ15" s="15"/>
      <c r="KK15" s="15"/>
      <c r="KL15" s="15"/>
      <c r="KM15" s="15"/>
      <c r="KN15" s="15"/>
      <c r="KO15" s="15"/>
      <c r="KP15" s="15"/>
      <c r="KQ15" s="15"/>
      <c r="KR15" s="15"/>
      <c r="KS15" s="15"/>
      <c r="KT15" s="15"/>
      <c r="KU15" s="15"/>
      <c r="KV15" s="15"/>
      <c r="KW15" s="15"/>
      <c r="KX15" s="15"/>
      <c r="KY15" s="15"/>
      <c r="KZ15" s="15"/>
      <c r="LA15" s="15"/>
      <c r="LB15" s="15"/>
      <c r="LC15" s="15"/>
      <c r="LD15" s="15"/>
      <c r="LE15" s="15"/>
      <c r="LF15" s="15"/>
      <c r="LG15" s="15"/>
      <c r="LH15" s="15"/>
      <c r="LI15" s="15"/>
      <c r="LJ15" s="15"/>
      <c r="LK15" s="15"/>
      <c r="LL15" s="15"/>
      <c r="LM15" s="15"/>
      <c r="LN15" s="15"/>
      <c r="LO15" s="15"/>
      <c r="LP15" s="15"/>
      <c r="LQ15" s="15"/>
      <c r="LR15" s="15"/>
      <c r="LS15" s="15"/>
      <c r="LT15" s="15"/>
      <c r="LU15" s="15"/>
      <c r="LV15" s="15"/>
      <c r="LW15" s="15"/>
      <c r="LX15" s="15"/>
      <c r="LY15" s="15"/>
      <c r="LZ15" s="15"/>
      <c r="MA15" s="15"/>
      <c r="MB15" s="15"/>
      <c r="MC15" s="15"/>
      <c r="MD15" s="15"/>
      <c r="ME15" s="15"/>
      <c r="MF15" s="15"/>
      <c r="MG15" s="15"/>
      <c r="MH15" s="15"/>
      <c r="MI15" s="15"/>
      <c r="MJ15" s="15"/>
      <c r="MK15" s="15"/>
      <c r="ML15" s="15"/>
      <c r="MM15" s="15"/>
      <c r="MN15" s="15"/>
      <c r="MO15" s="15"/>
      <c r="MP15" s="15"/>
      <c r="MQ15" s="15"/>
    </row>
    <row r="16" spans="1:355" s="15" customFormat="1" ht="39.950000000000003" customHeight="1" x14ac:dyDescent="0.25">
      <c r="A16" s="22">
        <v>9</v>
      </c>
      <c r="B16" s="21" t="s">
        <v>5</v>
      </c>
      <c r="C16" s="21">
        <v>400</v>
      </c>
      <c r="D16" s="21">
        <v>800</v>
      </c>
      <c r="E16" s="21">
        <v>280</v>
      </c>
      <c r="F16" s="21">
        <v>45</v>
      </c>
      <c r="G16" s="18">
        <v>350</v>
      </c>
      <c r="H16" s="18">
        <v>0.6</v>
      </c>
      <c r="I16" s="21">
        <v>3</v>
      </c>
      <c r="J16" s="21">
        <v>4</v>
      </c>
      <c r="K16" s="49" t="s">
        <v>50</v>
      </c>
      <c r="L16" s="18">
        <v>449</v>
      </c>
      <c r="M16" s="18">
        <v>0.56999999999999995</v>
      </c>
      <c r="N16" s="46"/>
      <c r="P16" s="2" t="s">
        <v>72</v>
      </c>
      <c r="Q16" s="52">
        <f>(Q12+R12+S12+T12+U12+V12+W12)/7</f>
        <v>0.93429395819386796</v>
      </c>
      <c r="R16" s="53"/>
      <c r="S16" s="53"/>
      <c r="T16" s="53"/>
      <c r="U16" s="53"/>
      <c r="V16" s="53"/>
      <c r="W16" s="53"/>
      <c r="X16" s="53"/>
      <c r="Y16" s="53"/>
      <c r="Z16" s="54"/>
      <c r="AA16" s="52">
        <f>(AA12+AB12+AC12+AD12+AE12+AF12+AG12)/7</f>
        <v>0.8908200356476218</v>
      </c>
      <c r="AB16" s="53"/>
      <c r="AC16" s="53"/>
      <c r="AD16" s="53"/>
      <c r="AE16" s="53"/>
      <c r="AF16" s="53"/>
      <c r="AG16" s="53"/>
      <c r="AH16" s="53"/>
      <c r="AI16" s="53"/>
      <c r="AJ16" s="54"/>
    </row>
    <row r="17" spans="1:355" s="16" customFormat="1" ht="39.950000000000003" customHeight="1" x14ac:dyDescent="0.25">
      <c r="A17" s="22">
        <v>10</v>
      </c>
      <c r="B17" s="21" t="s">
        <v>55</v>
      </c>
      <c r="C17" s="21">
        <v>600</v>
      </c>
      <c r="D17" s="21">
        <v>600</v>
      </c>
      <c r="E17" s="21">
        <v>290</v>
      </c>
      <c r="F17" s="21">
        <v>55</v>
      </c>
      <c r="G17" s="18">
        <v>500</v>
      </c>
      <c r="H17" s="18">
        <v>0.6</v>
      </c>
      <c r="I17" s="21">
        <v>3</v>
      </c>
      <c r="J17" s="21">
        <v>3</v>
      </c>
      <c r="K17" s="49" t="s">
        <v>6</v>
      </c>
      <c r="L17" s="18">
        <v>538</v>
      </c>
      <c r="M17" s="18">
        <v>0.59</v>
      </c>
      <c r="N17" s="46"/>
      <c r="O17" s="15"/>
      <c r="P17" s="2" t="s">
        <v>73</v>
      </c>
      <c r="Q17" s="52">
        <f>(Q13+R13+S13+T13+U13+V13)/6</f>
        <v>0.94555157302827741</v>
      </c>
      <c r="R17" s="53"/>
      <c r="S17" s="53"/>
      <c r="T17" s="53"/>
      <c r="U17" s="53"/>
      <c r="V17" s="53"/>
      <c r="W17" s="53"/>
      <c r="X17" s="53"/>
      <c r="Y17" s="53"/>
      <c r="Z17" s="54"/>
      <c r="AA17" s="52">
        <f>(AA13+AB13+AC13+AD13+AE13+AF13)/6</f>
        <v>0.88718664522743029</v>
      </c>
      <c r="AB17" s="53"/>
      <c r="AC17" s="53"/>
      <c r="AD17" s="53"/>
      <c r="AE17" s="53"/>
      <c r="AF17" s="53"/>
      <c r="AG17" s="53"/>
      <c r="AH17" s="53"/>
      <c r="AI17" s="53"/>
      <c r="AJ17" s="54"/>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15"/>
      <c r="CL17" s="15"/>
      <c r="CM17" s="15"/>
      <c r="CN17" s="15"/>
      <c r="CO17" s="15"/>
      <c r="CP17" s="15"/>
      <c r="CQ17" s="15"/>
      <c r="CR17" s="15"/>
      <c r="CS17" s="15"/>
      <c r="CT17" s="15"/>
      <c r="CU17" s="15"/>
      <c r="CV17" s="15"/>
      <c r="CW17" s="15"/>
      <c r="CX17" s="15"/>
      <c r="CY17" s="15"/>
      <c r="CZ17" s="15"/>
      <c r="DA17" s="15"/>
      <c r="DB17" s="15"/>
      <c r="DC17" s="15"/>
      <c r="DD17" s="15"/>
      <c r="DE17" s="15"/>
      <c r="DF17" s="15"/>
      <c r="DG17" s="15"/>
      <c r="DH17" s="15"/>
      <c r="DI17" s="15"/>
      <c r="DJ17" s="15"/>
      <c r="DK17" s="15"/>
      <c r="DL17" s="15"/>
      <c r="DM17" s="15"/>
      <c r="DN17" s="15"/>
      <c r="DO17" s="15"/>
      <c r="DP17" s="15"/>
      <c r="DQ17" s="15"/>
      <c r="DR17" s="15"/>
      <c r="DS17" s="15"/>
      <c r="DT17" s="15"/>
      <c r="DU17" s="15"/>
      <c r="DV17" s="15"/>
      <c r="DW17" s="15"/>
      <c r="DX17" s="15"/>
      <c r="DY17" s="15"/>
      <c r="DZ17" s="15"/>
      <c r="EA17" s="15"/>
      <c r="EB17" s="15"/>
      <c r="EC17" s="15"/>
      <c r="ED17" s="15"/>
      <c r="EE17" s="15"/>
      <c r="EF17" s="15"/>
      <c r="EG17" s="15"/>
      <c r="EH17" s="15"/>
      <c r="EI17" s="15"/>
      <c r="EJ17" s="15"/>
      <c r="EK17" s="15"/>
      <c r="EL17" s="15"/>
      <c r="EM17" s="15"/>
      <c r="EN17" s="15"/>
      <c r="EO17" s="15"/>
      <c r="EP17" s="15"/>
      <c r="EQ17" s="15"/>
      <c r="ER17" s="15"/>
      <c r="ES17" s="15"/>
      <c r="ET17" s="15"/>
      <c r="EU17" s="15"/>
      <c r="EV17" s="15"/>
      <c r="EW17" s="15"/>
      <c r="EX17" s="15"/>
      <c r="EY17" s="15"/>
      <c r="EZ17" s="15"/>
      <c r="FA17" s="15"/>
      <c r="FB17" s="15"/>
      <c r="FC17" s="15"/>
      <c r="FD17" s="15"/>
      <c r="FE17" s="15"/>
      <c r="FF17" s="15"/>
      <c r="FG17" s="15"/>
      <c r="FH17" s="15"/>
      <c r="FI17" s="15"/>
      <c r="FJ17" s="15"/>
      <c r="FK17" s="15"/>
      <c r="FL17" s="15"/>
      <c r="FM17" s="15"/>
      <c r="FN17" s="15"/>
      <c r="FO17" s="15"/>
      <c r="FP17" s="15"/>
      <c r="FQ17" s="15"/>
      <c r="FR17" s="15"/>
      <c r="FS17" s="15"/>
      <c r="FT17" s="15"/>
      <c r="FU17" s="15"/>
      <c r="FV17" s="15"/>
      <c r="FW17" s="15"/>
      <c r="FX17" s="15"/>
      <c r="FY17" s="15"/>
      <c r="FZ17" s="15"/>
      <c r="GA17" s="15"/>
      <c r="GB17" s="15"/>
      <c r="GC17" s="15"/>
      <c r="GD17" s="15"/>
      <c r="GE17" s="15"/>
      <c r="GF17" s="15"/>
      <c r="GG17" s="15"/>
      <c r="GH17" s="15"/>
      <c r="GI17" s="15"/>
      <c r="GJ17" s="15"/>
      <c r="GK17" s="15"/>
      <c r="GL17" s="15"/>
      <c r="GM17" s="15"/>
      <c r="GN17" s="15"/>
      <c r="GO17" s="15"/>
      <c r="GP17" s="15"/>
      <c r="GQ17" s="15"/>
      <c r="GR17" s="15"/>
      <c r="GS17" s="15"/>
      <c r="GT17" s="15"/>
      <c r="GU17" s="15"/>
      <c r="GV17" s="15"/>
      <c r="GW17" s="15"/>
      <c r="GX17" s="15"/>
      <c r="GY17" s="15"/>
      <c r="GZ17" s="15"/>
      <c r="HA17" s="15"/>
      <c r="HB17" s="15"/>
      <c r="HC17" s="15"/>
      <c r="HD17" s="15"/>
      <c r="HE17" s="15"/>
      <c r="HF17" s="15"/>
      <c r="HG17" s="15"/>
      <c r="HH17" s="15"/>
      <c r="HI17" s="15"/>
      <c r="HJ17" s="15"/>
      <c r="HK17" s="15"/>
      <c r="HL17" s="15"/>
      <c r="HM17" s="15"/>
      <c r="HN17" s="15"/>
      <c r="HO17" s="15"/>
      <c r="HP17" s="15"/>
      <c r="HQ17" s="15"/>
      <c r="HR17" s="15"/>
      <c r="HS17" s="15"/>
      <c r="HT17" s="15"/>
      <c r="HU17" s="15"/>
      <c r="HV17" s="15"/>
      <c r="HW17" s="15"/>
      <c r="HX17" s="15"/>
      <c r="HY17" s="15"/>
      <c r="HZ17" s="15"/>
      <c r="IA17" s="15"/>
      <c r="IB17" s="15"/>
      <c r="IC17" s="15"/>
      <c r="ID17" s="15"/>
      <c r="IE17" s="15"/>
      <c r="IF17" s="15"/>
      <c r="IG17" s="15"/>
      <c r="IH17" s="15"/>
      <c r="II17" s="15"/>
      <c r="IJ17" s="15"/>
      <c r="IK17" s="15"/>
      <c r="IL17" s="15"/>
      <c r="IM17" s="15"/>
      <c r="IN17" s="15"/>
      <c r="IO17" s="15"/>
      <c r="IP17" s="15"/>
      <c r="IQ17" s="15"/>
      <c r="IR17" s="15"/>
      <c r="IS17" s="15"/>
      <c r="IT17" s="15"/>
      <c r="IU17" s="15"/>
      <c r="IV17" s="15"/>
      <c r="IW17" s="15"/>
      <c r="IX17" s="15"/>
      <c r="IY17" s="15"/>
      <c r="IZ17" s="15"/>
      <c r="JA17" s="15"/>
      <c r="JB17" s="15"/>
      <c r="JC17" s="15"/>
      <c r="JD17" s="15"/>
      <c r="JE17" s="15"/>
      <c r="JF17" s="15"/>
      <c r="JG17" s="15"/>
      <c r="JH17" s="15"/>
      <c r="JI17" s="15"/>
      <c r="JJ17" s="15"/>
      <c r="JK17" s="15"/>
      <c r="JL17" s="15"/>
      <c r="JM17" s="15"/>
      <c r="JN17" s="15"/>
      <c r="JO17" s="15"/>
      <c r="JP17" s="15"/>
      <c r="JQ17" s="15"/>
      <c r="JR17" s="15"/>
      <c r="JS17" s="15"/>
      <c r="JT17" s="15"/>
      <c r="JU17" s="15"/>
      <c r="JV17" s="15"/>
      <c r="JW17" s="15"/>
      <c r="JX17" s="15"/>
      <c r="JY17" s="15"/>
      <c r="JZ17" s="15"/>
      <c r="KA17" s="15"/>
      <c r="KB17" s="15"/>
      <c r="KC17" s="15"/>
      <c r="KD17" s="15"/>
      <c r="KE17" s="15"/>
      <c r="KF17" s="15"/>
      <c r="KG17" s="15"/>
      <c r="KH17" s="15"/>
      <c r="KI17" s="15"/>
      <c r="KJ17" s="15"/>
      <c r="KK17" s="15"/>
      <c r="KL17" s="15"/>
      <c r="KM17" s="15"/>
      <c r="KN17" s="15"/>
      <c r="KO17" s="15"/>
      <c r="KP17" s="15"/>
      <c r="KQ17" s="15"/>
      <c r="KR17" s="15"/>
      <c r="KS17" s="15"/>
      <c r="KT17" s="15"/>
      <c r="KU17" s="15"/>
      <c r="KV17" s="15"/>
      <c r="KW17" s="15"/>
      <c r="KX17" s="15"/>
      <c r="KY17" s="15"/>
      <c r="KZ17" s="15"/>
      <c r="LA17" s="15"/>
      <c r="LB17" s="15"/>
      <c r="LC17" s="15"/>
      <c r="LD17" s="15"/>
      <c r="LE17" s="15"/>
      <c r="LF17" s="15"/>
      <c r="LG17" s="15"/>
      <c r="LH17" s="15"/>
      <c r="LI17" s="15"/>
      <c r="LJ17" s="15"/>
      <c r="LK17" s="15"/>
      <c r="LL17" s="15"/>
      <c r="LM17" s="15"/>
      <c r="LN17" s="15"/>
      <c r="LO17" s="15"/>
      <c r="LP17" s="15"/>
      <c r="LQ17" s="15"/>
      <c r="LR17" s="15"/>
      <c r="LS17" s="15"/>
      <c r="LT17" s="15"/>
      <c r="LU17" s="15"/>
      <c r="LV17" s="15"/>
      <c r="LW17" s="15"/>
      <c r="LX17" s="15"/>
      <c r="LY17" s="15"/>
      <c r="LZ17" s="15"/>
      <c r="MA17" s="15"/>
      <c r="MB17" s="15"/>
      <c r="MC17" s="15"/>
      <c r="MD17" s="15"/>
      <c r="ME17" s="15"/>
      <c r="MF17" s="15"/>
      <c r="MG17" s="15"/>
      <c r="MH17" s="15"/>
      <c r="MI17" s="15"/>
      <c r="MJ17" s="15"/>
      <c r="MK17" s="15"/>
      <c r="ML17" s="15"/>
      <c r="MM17" s="15"/>
      <c r="MN17" s="15"/>
      <c r="MO17" s="15"/>
      <c r="MP17" s="15"/>
      <c r="MQ17" s="15"/>
    </row>
    <row r="18" spans="1:355" s="17" customFormat="1" ht="54.95" customHeight="1" x14ac:dyDescent="0.25">
      <c r="A18" s="22">
        <v>11</v>
      </c>
      <c r="B18" s="21" t="s">
        <v>56</v>
      </c>
      <c r="C18" s="21">
        <v>800</v>
      </c>
      <c r="D18" s="21">
        <v>600</v>
      </c>
      <c r="E18" s="21">
        <v>380</v>
      </c>
      <c r="F18" s="21">
        <v>65</v>
      </c>
      <c r="G18" s="18">
        <v>700</v>
      </c>
      <c r="H18" s="18">
        <v>0.5</v>
      </c>
      <c r="I18" s="21">
        <v>4</v>
      </c>
      <c r="J18" s="21">
        <v>3</v>
      </c>
      <c r="K18" s="49" t="s">
        <v>81</v>
      </c>
      <c r="L18" s="18">
        <v>692</v>
      </c>
      <c r="M18" s="18">
        <v>0.51</v>
      </c>
      <c r="N18" s="46"/>
      <c r="O18" s="15"/>
      <c r="P18" s="2" t="s">
        <v>74</v>
      </c>
      <c r="Q18" s="52">
        <f>(Q14+R14+S14+T14+U14+V14+W14+X14+Y14+Z14)/10</f>
        <v>0.88381106427659328</v>
      </c>
      <c r="R18" s="53"/>
      <c r="S18" s="53"/>
      <c r="T18" s="53"/>
      <c r="U18" s="53"/>
      <c r="V18" s="53"/>
      <c r="W18" s="53"/>
      <c r="X18" s="53"/>
      <c r="Y18" s="53"/>
      <c r="Z18" s="54"/>
      <c r="AA18" s="52">
        <f>(AA14+AB14+AC14+AD14+AE14+AF14+AG14+AH14+AI14+AJ14)/10</f>
        <v>0.8843894993894994</v>
      </c>
      <c r="AB18" s="53"/>
      <c r="AC18" s="53"/>
      <c r="AD18" s="53"/>
      <c r="AE18" s="53"/>
      <c r="AF18" s="53"/>
      <c r="AG18" s="53"/>
      <c r="AH18" s="53"/>
      <c r="AI18" s="53"/>
      <c r="AJ18" s="54"/>
      <c r="AK18" s="15"/>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15"/>
      <c r="CL18" s="15"/>
      <c r="CM18" s="15"/>
      <c r="CN18" s="15"/>
      <c r="CO18" s="15"/>
      <c r="CP18" s="15"/>
      <c r="CQ18" s="15"/>
      <c r="CR18" s="15"/>
      <c r="CS18" s="15"/>
      <c r="CT18" s="15"/>
      <c r="CU18" s="15"/>
      <c r="CV18" s="15"/>
      <c r="CW18" s="15"/>
      <c r="CX18" s="15"/>
      <c r="CY18" s="15"/>
      <c r="CZ18" s="15"/>
      <c r="DA18" s="15"/>
      <c r="DB18" s="15"/>
      <c r="DC18" s="15"/>
      <c r="DD18" s="15"/>
      <c r="DE18" s="15"/>
      <c r="DF18" s="15"/>
      <c r="DG18" s="15"/>
      <c r="DH18" s="15"/>
      <c r="DI18" s="15"/>
      <c r="DJ18" s="15"/>
      <c r="DK18" s="15"/>
      <c r="DL18" s="15"/>
      <c r="DM18" s="15"/>
      <c r="DN18" s="15"/>
      <c r="DO18" s="15"/>
      <c r="DP18" s="15"/>
      <c r="DQ18" s="15"/>
      <c r="DR18" s="15"/>
      <c r="DS18" s="15"/>
      <c r="DT18" s="15"/>
      <c r="DU18" s="15"/>
      <c r="DV18" s="15"/>
      <c r="DW18" s="15"/>
      <c r="DX18" s="15"/>
      <c r="DY18" s="15"/>
      <c r="DZ18" s="15"/>
      <c r="EA18" s="15"/>
      <c r="EB18" s="15"/>
      <c r="EC18" s="15"/>
      <c r="ED18" s="15"/>
      <c r="EE18" s="15"/>
      <c r="EF18" s="15"/>
      <c r="EG18" s="15"/>
      <c r="EH18" s="15"/>
      <c r="EI18" s="15"/>
      <c r="EJ18" s="15"/>
      <c r="EK18" s="15"/>
      <c r="EL18" s="15"/>
      <c r="EM18" s="15"/>
      <c r="EN18" s="15"/>
      <c r="EO18" s="15"/>
      <c r="EP18" s="15"/>
      <c r="EQ18" s="15"/>
      <c r="ER18" s="15"/>
      <c r="ES18" s="15"/>
      <c r="ET18" s="15"/>
      <c r="EU18" s="15"/>
      <c r="EV18" s="15"/>
      <c r="EW18" s="15"/>
      <c r="EX18" s="15"/>
      <c r="EY18" s="15"/>
      <c r="EZ18" s="15"/>
      <c r="FA18" s="15"/>
      <c r="FB18" s="15"/>
      <c r="FC18" s="15"/>
      <c r="FD18" s="15"/>
      <c r="FE18" s="15"/>
      <c r="FF18" s="15"/>
      <c r="FG18" s="15"/>
      <c r="FH18" s="15"/>
      <c r="FI18" s="15"/>
      <c r="FJ18" s="15"/>
      <c r="FK18" s="15"/>
      <c r="FL18" s="15"/>
      <c r="FM18" s="15"/>
      <c r="FN18" s="15"/>
      <c r="FO18" s="15"/>
      <c r="FP18" s="15"/>
      <c r="FQ18" s="15"/>
      <c r="FR18" s="15"/>
      <c r="FS18" s="15"/>
      <c r="FT18" s="15"/>
      <c r="FU18" s="15"/>
      <c r="FV18" s="15"/>
      <c r="FW18" s="15"/>
      <c r="FX18" s="15"/>
      <c r="FY18" s="15"/>
      <c r="FZ18" s="15"/>
      <c r="GA18" s="15"/>
      <c r="GB18" s="15"/>
      <c r="GC18" s="15"/>
      <c r="GD18" s="15"/>
      <c r="GE18" s="15"/>
      <c r="GF18" s="15"/>
      <c r="GG18" s="15"/>
      <c r="GH18" s="15"/>
      <c r="GI18" s="15"/>
      <c r="GJ18" s="15"/>
      <c r="GK18" s="15"/>
      <c r="GL18" s="15"/>
      <c r="GM18" s="15"/>
      <c r="GN18" s="15"/>
      <c r="GO18" s="15"/>
      <c r="GP18" s="15"/>
      <c r="GQ18" s="15"/>
      <c r="GR18" s="15"/>
      <c r="GS18" s="15"/>
      <c r="GT18" s="15"/>
      <c r="GU18" s="15"/>
      <c r="GV18" s="15"/>
      <c r="GW18" s="15"/>
      <c r="GX18" s="15"/>
      <c r="GY18" s="15"/>
      <c r="GZ18" s="15"/>
      <c r="HA18" s="15"/>
      <c r="HB18" s="15"/>
      <c r="HC18" s="15"/>
      <c r="HD18" s="15"/>
      <c r="HE18" s="15"/>
      <c r="HF18" s="15"/>
      <c r="HG18" s="15"/>
      <c r="HH18" s="15"/>
      <c r="HI18" s="15"/>
      <c r="HJ18" s="15"/>
      <c r="HK18" s="15"/>
      <c r="HL18" s="15"/>
      <c r="HM18" s="15"/>
      <c r="HN18" s="15"/>
      <c r="HO18" s="15"/>
      <c r="HP18" s="15"/>
      <c r="HQ18" s="15"/>
      <c r="HR18" s="15"/>
      <c r="HS18" s="15"/>
      <c r="HT18" s="15"/>
      <c r="HU18" s="15"/>
      <c r="HV18" s="15"/>
      <c r="HW18" s="15"/>
      <c r="HX18" s="15"/>
      <c r="HY18" s="15"/>
      <c r="HZ18" s="15"/>
      <c r="IA18" s="15"/>
      <c r="IB18" s="15"/>
      <c r="IC18" s="15"/>
      <c r="ID18" s="15"/>
      <c r="IE18" s="15"/>
      <c r="IF18" s="15"/>
      <c r="IG18" s="15"/>
      <c r="IH18" s="15"/>
      <c r="II18" s="15"/>
      <c r="IJ18" s="15"/>
      <c r="IK18" s="15"/>
      <c r="IL18" s="15"/>
      <c r="IM18" s="15"/>
      <c r="IN18" s="15"/>
      <c r="IO18" s="15"/>
      <c r="IP18" s="15"/>
      <c r="IQ18" s="15"/>
      <c r="IR18" s="15"/>
      <c r="IS18" s="15"/>
      <c r="IT18" s="15"/>
      <c r="IU18" s="15"/>
      <c r="IV18" s="15"/>
      <c r="IW18" s="15"/>
      <c r="IX18" s="15"/>
      <c r="IY18" s="15"/>
      <c r="IZ18" s="15"/>
      <c r="JA18" s="15"/>
      <c r="JB18" s="15"/>
      <c r="JC18" s="15"/>
      <c r="JD18" s="15"/>
      <c r="JE18" s="15"/>
      <c r="JF18" s="15"/>
      <c r="JG18" s="15"/>
      <c r="JH18" s="15"/>
      <c r="JI18" s="15"/>
      <c r="JJ18" s="15"/>
      <c r="JK18" s="15"/>
      <c r="JL18" s="15"/>
      <c r="JM18" s="15"/>
      <c r="JN18" s="15"/>
      <c r="JO18" s="15"/>
      <c r="JP18" s="15"/>
      <c r="JQ18" s="15"/>
      <c r="JR18" s="15"/>
      <c r="JS18" s="15"/>
      <c r="JT18" s="15"/>
      <c r="JU18" s="15"/>
      <c r="JV18" s="15"/>
      <c r="JW18" s="15"/>
      <c r="JX18" s="15"/>
      <c r="JY18" s="15"/>
      <c r="JZ18" s="15"/>
      <c r="KA18" s="15"/>
      <c r="KB18" s="15"/>
      <c r="KC18" s="15"/>
      <c r="KD18" s="15"/>
      <c r="KE18" s="15"/>
      <c r="KF18" s="15"/>
      <c r="KG18" s="15"/>
      <c r="KH18" s="15"/>
      <c r="KI18" s="15"/>
      <c r="KJ18" s="15"/>
      <c r="KK18" s="15"/>
      <c r="KL18" s="15"/>
      <c r="KM18" s="15"/>
      <c r="KN18" s="15"/>
      <c r="KO18" s="15"/>
      <c r="KP18" s="15"/>
      <c r="KQ18" s="15"/>
      <c r="KR18" s="15"/>
      <c r="KS18" s="15"/>
      <c r="KT18" s="15"/>
      <c r="KU18" s="15"/>
      <c r="KV18" s="15"/>
      <c r="KW18" s="15"/>
      <c r="KX18" s="15"/>
      <c r="KY18" s="15"/>
      <c r="KZ18" s="15"/>
      <c r="LA18" s="15"/>
      <c r="LB18" s="15"/>
      <c r="LC18" s="15"/>
      <c r="LD18" s="15"/>
      <c r="LE18" s="15"/>
      <c r="LF18" s="15"/>
      <c r="LG18" s="15"/>
      <c r="LH18" s="15"/>
      <c r="LI18" s="15"/>
      <c r="LJ18" s="15"/>
      <c r="LK18" s="15"/>
      <c r="LL18" s="15"/>
      <c r="LM18" s="15"/>
      <c r="LN18" s="15"/>
      <c r="LO18" s="15"/>
      <c r="LP18" s="15"/>
      <c r="LQ18" s="15"/>
      <c r="LR18" s="15"/>
      <c r="LS18" s="15"/>
      <c r="LT18" s="15"/>
      <c r="LU18" s="15"/>
      <c r="LV18" s="15"/>
      <c r="LW18" s="15"/>
      <c r="LX18" s="15"/>
      <c r="LY18" s="15"/>
      <c r="LZ18" s="15"/>
      <c r="MA18" s="15"/>
      <c r="MB18" s="15"/>
      <c r="MC18" s="15"/>
      <c r="MD18" s="15"/>
      <c r="ME18" s="15"/>
      <c r="MF18" s="15"/>
      <c r="MG18" s="15"/>
      <c r="MH18" s="15"/>
      <c r="MI18" s="15"/>
      <c r="MJ18" s="15"/>
      <c r="MK18" s="15"/>
      <c r="ML18" s="15"/>
      <c r="MM18" s="15"/>
      <c r="MN18" s="15"/>
      <c r="MO18" s="15"/>
      <c r="MP18" s="15"/>
      <c r="MQ18" s="15"/>
    </row>
    <row r="19" spans="1:355" s="15" customFormat="1" ht="39.950000000000003" customHeight="1" x14ac:dyDescent="0.25">
      <c r="A19" s="22">
        <v>12</v>
      </c>
      <c r="B19" s="21" t="s">
        <v>5</v>
      </c>
      <c r="C19" s="21">
        <v>290</v>
      </c>
      <c r="D19" s="21">
        <v>800</v>
      </c>
      <c r="E19" s="21">
        <v>270</v>
      </c>
      <c r="F19" s="21">
        <v>40</v>
      </c>
      <c r="G19" s="18">
        <v>150</v>
      </c>
      <c r="H19" s="18">
        <v>0.4</v>
      </c>
      <c r="I19" s="21">
        <v>2</v>
      </c>
      <c r="J19" s="21">
        <v>4</v>
      </c>
      <c r="K19" s="49" t="s">
        <v>49</v>
      </c>
      <c r="L19" s="18">
        <v>199</v>
      </c>
      <c r="M19" s="18">
        <v>0.46</v>
      </c>
      <c r="N19" s="46"/>
      <c r="P19" s="2" t="s">
        <v>75</v>
      </c>
      <c r="Q19" s="52">
        <f>(Q15+R15+S15+T15+U15+V15+W15)/7</f>
        <v>0.83429650496634233</v>
      </c>
      <c r="R19" s="53"/>
      <c r="S19" s="53"/>
      <c r="T19" s="53"/>
      <c r="U19" s="53"/>
      <c r="V19" s="53"/>
      <c r="W19" s="53"/>
      <c r="X19" s="53"/>
      <c r="Y19" s="53"/>
      <c r="Z19" s="54"/>
      <c r="AA19" s="52">
        <f>(AA15+AB15+AC15+AD15+AE15+AF15+AG15)/7</f>
        <v>0.86208709953164253</v>
      </c>
      <c r="AB19" s="53"/>
      <c r="AC19" s="53"/>
      <c r="AD19" s="53"/>
      <c r="AE19" s="53"/>
      <c r="AF19" s="53"/>
      <c r="AG19" s="53"/>
      <c r="AH19" s="53"/>
      <c r="AI19" s="53"/>
      <c r="AJ19" s="54"/>
    </row>
    <row r="20" spans="1:355" s="16" customFormat="1" ht="39.950000000000003" customHeight="1" x14ac:dyDescent="0.25">
      <c r="A20" s="22">
        <v>13</v>
      </c>
      <c r="B20" s="21" t="s">
        <v>55</v>
      </c>
      <c r="C20" s="21">
        <v>250</v>
      </c>
      <c r="D20" s="21">
        <v>800</v>
      </c>
      <c r="E20" s="21">
        <v>350</v>
      </c>
      <c r="F20" s="21">
        <v>40</v>
      </c>
      <c r="G20" s="18">
        <v>150</v>
      </c>
      <c r="H20" s="18">
        <v>0.4</v>
      </c>
      <c r="I20" s="21">
        <v>1</v>
      </c>
      <c r="J20" s="21">
        <v>4</v>
      </c>
      <c r="K20" s="49" t="s">
        <v>48</v>
      </c>
      <c r="L20" s="18">
        <v>241</v>
      </c>
      <c r="M20" s="18">
        <v>0.63</v>
      </c>
      <c r="N20" s="46"/>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15"/>
      <c r="CL20" s="15"/>
      <c r="CM20" s="15"/>
      <c r="CN20" s="15"/>
      <c r="CO20" s="15"/>
      <c r="CP20" s="15"/>
      <c r="CQ20" s="15"/>
      <c r="CR20" s="15"/>
      <c r="CS20" s="15"/>
      <c r="CT20" s="15"/>
      <c r="CU20" s="15"/>
      <c r="CV20" s="15"/>
      <c r="CW20" s="15"/>
      <c r="CX20" s="15"/>
      <c r="CY20" s="15"/>
      <c r="CZ20" s="15"/>
      <c r="DA20" s="15"/>
      <c r="DB20" s="15"/>
      <c r="DC20" s="15"/>
      <c r="DD20" s="15"/>
      <c r="DE20" s="15"/>
      <c r="DF20" s="15"/>
      <c r="DG20" s="15"/>
      <c r="DH20" s="15"/>
      <c r="DI20" s="15"/>
      <c r="DJ20" s="15"/>
      <c r="DK20" s="15"/>
      <c r="DL20" s="15"/>
      <c r="DM20" s="15"/>
      <c r="DN20" s="15"/>
      <c r="DO20" s="15"/>
      <c r="DP20" s="15"/>
      <c r="DQ20" s="15"/>
      <c r="DR20" s="15"/>
      <c r="DS20" s="15"/>
      <c r="DT20" s="15"/>
      <c r="DU20" s="15"/>
      <c r="DV20" s="15"/>
      <c r="DW20" s="15"/>
      <c r="DX20" s="15"/>
      <c r="DY20" s="15"/>
      <c r="DZ20" s="15"/>
      <c r="EA20" s="15"/>
      <c r="EB20" s="15"/>
      <c r="EC20" s="15"/>
      <c r="ED20" s="15"/>
      <c r="EE20" s="15"/>
      <c r="EF20" s="15"/>
      <c r="EG20" s="15"/>
      <c r="EH20" s="15"/>
      <c r="EI20" s="15"/>
      <c r="EJ20" s="15"/>
      <c r="EK20" s="15"/>
      <c r="EL20" s="15"/>
      <c r="EM20" s="15"/>
      <c r="EN20" s="15"/>
      <c r="EO20" s="15"/>
      <c r="EP20" s="15"/>
      <c r="EQ20" s="15"/>
      <c r="ER20" s="15"/>
      <c r="ES20" s="15"/>
      <c r="ET20" s="15"/>
      <c r="EU20" s="15"/>
      <c r="EV20" s="15"/>
      <c r="EW20" s="15"/>
      <c r="EX20" s="15"/>
      <c r="EY20" s="15"/>
      <c r="EZ20" s="15"/>
      <c r="FA20" s="15"/>
      <c r="FB20" s="15"/>
      <c r="FC20" s="15"/>
      <c r="FD20" s="15"/>
      <c r="FE20" s="15"/>
      <c r="FF20" s="15"/>
      <c r="FG20" s="15"/>
      <c r="FH20" s="15"/>
      <c r="FI20" s="15"/>
      <c r="FJ20" s="15"/>
      <c r="FK20" s="15"/>
      <c r="FL20" s="15"/>
      <c r="FM20" s="15"/>
      <c r="FN20" s="15"/>
      <c r="FO20" s="15"/>
      <c r="FP20" s="15"/>
      <c r="FQ20" s="15"/>
      <c r="FR20" s="15"/>
      <c r="FS20" s="15"/>
      <c r="FT20" s="15"/>
      <c r="FU20" s="15"/>
      <c r="FV20" s="15"/>
      <c r="FW20" s="15"/>
      <c r="FX20" s="15"/>
      <c r="FY20" s="15"/>
      <c r="FZ20" s="15"/>
      <c r="GA20" s="15"/>
      <c r="GB20" s="15"/>
      <c r="GC20" s="15"/>
      <c r="GD20" s="15"/>
      <c r="GE20" s="15"/>
      <c r="GF20" s="15"/>
      <c r="GG20" s="15"/>
      <c r="GH20" s="15"/>
      <c r="GI20" s="15"/>
      <c r="GJ20" s="15"/>
      <c r="GK20" s="15"/>
      <c r="GL20" s="15"/>
      <c r="GM20" s="15"/>
      <c r="GN20" s="15"/>
      <c r="GO20" s="15"/>
      <c r="GP20" s="15"/>
      <c r="GQ20" s="15"/>
      <c r="GR20" s="15"/>
      <c r="GS20" s="15"/>
      <c r="GT20" s="15"/>
      <c r="GU20" s="15"/>
      <c r="GV20" s="15"/>
      <c r="GW20" s="15"/>
      <c r="GX20" s="15"/>
      <c r="GY20" s="15"/>
      <c r="GZ20" s="15"/>
      <c r="HA20" s="15"/>
      <c r="HB20" s="15"/>
      <c r="HC20" s="15"/>
      <c r="HD20" s="15"/>
      <c r="HE20" s="15"/>
      <c r="HF20" s="15"/>
      <c r="HG20" s="15"/>
      <c r="HH20" s="15"/>
      <c r="HI20" s="15"/>
      <c r="HJ20" s="15"/>
      <c r="HK20" s="15"/>
      <c r="HL20" s="15"/>
      <c r="HM20" s="15"/>
      <c r="HN20" s="15"/>
      <c r="HO20" s="15"/>
      <c r="HP20" s="15"/>
      <c r="HQ20" s="15"/>
      <c r="HR20" s="15"/>
      <c r="HS20" s="15"/>
      <c r="HT20" s="15"/>
      <c r="HU20" s="15"/>
      <c r="HV20" s="15"/>
      <c r="HW20" s="15"/>
      <c r="HX20" s="15"/>
      <c r="HY20" s="15"/>
      <c r="HZ20" s="15"/>
      <c r="IA20" s="15"/>
      <c r="IB20" s="15"/>
      <c r="IC20" s="15"/>
      <c r="ID20" s="15"/>
      <c r="IE20" s="15"/>
      <c r="IF20" s="15"/>
      <c r="IG20" s="15"/>
      <c r="IH20" s="15"/>
      <c r="II20" s="15"/>
      <c r="IJ20" s="15"/>
      <c r="IK20" s="15"/>
      <c r="IL20" s="15"/>
      <c r="IM20" s="15"/>
      <c r="IN20" s="15"/>
      <c r="IO20" s="15"/>
      <c r="IP20" s="15"/>
      <c r="IQ20" s="15"/>
      <c r="IR20" s="15"/>
      <c r="IS20" s="15"/>
      <c r="IT20" s="15"/>
      <c r="IU20" s="15"/>
      <c r="IV20" s="15"/>
      <c r="IW20" s="15"/>
      <c r="IX20" s="15"/>
      <c r="IY20" s="15"/>
      <c r="IZ20" s="15"/>
      <c r="JA20" s="15"/>
      <c r="JB20" s="15"/>
      <c r="JC20" s="15"/>
      <c r="JD20" s="15"/>
      <c r="JE20" s="15"/>
      <c r="JF20" s="15"/>
      <c r="JG20" s="15"/>
      <c r="JH20" s="15"/>
      <c r="JI20" s="15"/>
      <c r="JJ20" s="15"/>
      <c r="JK20" s="15"/>
      <c r="JL20" s="15"/>
      <c r="JM20" s="15"/>
      <c r="JN20" s="15"/>
      <c r="JO20" s="15"/>
      <c r="JP20" s="15"/>
      <c r="JQ20" s="15"/>
      <c r="JR20" s="15"/>
      <c r="JS20" s="15"/>
      <c r="JT20" s="15"/>
      <c r="JU20" s="15"/>
      <c r="JV20" s="15"/>
      <c r="JW20" s="15"/>
      <c r="JX20" s="15"/>
      <c r="JY20" s="15"/>
      <c r="JZ20" s="15"/>
      <c r="KA20" s="15"/>
      <c r="KB20" s="15"/>
      <c r="KC20" s="15"/>
      <c r="KD20" s="15"/>
      <c r="KE20" s="15"/>
      <c r="KF20" s="15"/>
      <c r="KG20" s="15"/>
      <c r="KH20" s="15"/>
      <c r="KI20" s="15"/>
      <c r="KJ20" s="15"/>
      <c r="KK20" s="15"/>
      <c r="KL20" s="15"/>
      <c r="KM20" s="15"/>
      <c r="KN20" s="15"/>
      <c r="KO20" s="15"/>
      <c r="KP20" s="15"/>
      <c r="KQ20" s="15"/>
      <c r="KR20" s="15"/>
      <c r="KS20" s="15"/>
      <c r="KT20" s="15"/>
      <c r="KU20" s="15"/>
      <c r="KV20" s="15"/>
      <c r="KW20" s="15"/>
      <c r="KX20" s="15"/>
      <c r="KY20" s="15"/>
      <c r="KZ20" s="15"/>
      <c r="LA20" s="15"/>
      <c r="LB20" s="15"/>
      <c r="LC20" s="15"/>
      <c r="LD20" s="15"/>
      <c r="LE20" s="15"/>
      <c r="LF20" s="15"/>
      <c r="LG20" s="15"/>
      <c r="LH20" s="15"/>
      <c r="LI20" s="15"/>
      <c r="LJ20" s="15"/>
      <c r="LK20" s="15"/>
      <c r="LL20" s="15"/>
      <c r="LM20" s="15"/>
      <c r="LN20" s="15"/>
      <c r="LO20" s="15"/>
      <c r="LP20" s="15"/>
      <c r="LQ20" s="15"/>
      <c r="LR20" s="15"/>
      <c r="LS20" s="15"/>
      <c r="LT20" s="15"/>
      <c r="LU20" s="15"/>
      <c r="LV20" s="15"/>
      <c r="LW20" s="15"/>
      <c r="LX20" s="15"/>
      <c r="LY20" s="15"/>
      <c r="LZ20" s="15"/>
      <c r="MA20" s="15"/>
      <c r="MB20" s="15"/>
      <c r="MC20" s="15"/>
      <c r="MD20" s="15"/>
      <c r="ME20" s="15"/>
      <c r="MF20" s="15"/>
      <c r="MG20" s="15"/>
      <c r="MH20" s="15"/>
      <c r="MI20" s="15"/>
      <c r="MJ20" s="15"/>
      <c r="MK20" s="15"/>
      <c r="ML20" s="15"/>
      <c r="MM20" s="15"/>
      <c r="MN20" s="15"/>
      <c r="MO20" s="15"/>
      <c r="MP20" s="15"/>
      <c r="MQ20" s="15"/>
    </row>
    <row r="21" spans="1:355" s="16" customFormat="1" ht="39.950000000000003" customHeight="1" x14ac:dyDescent="0.25">
      <c r="A21" s="22">
        <v>14</v>
      </c>
      <c r="B21" s="21" t="s">
        <v>55</v>
      </c>
      <c r="C21" s="21">
        <v>1000</v>
      </c>
      <c r="D21" s="21">
        <v>900</v>
      </c>
      <c r="E21" s="21">
        <v>420</v>
      </c>
      <c r="F21" s="21">
        <v>70</v>
      </c>
      <c r="G21" s="18">
        <v>750</v>
      </c>
      <c r="H21" s="18">
        <v>0.6</v>
      </c>
      <c r="I21" s="21">
        <v>4</v>
      </c>
      <c r="J21" s="21">
        <v>5</v>
      </c>
      <c r="K21" s="49" t="s">
        <v>82</v>
      </c>
      <c r="L21" s="18">
        <v>700</v>
      </c>
      <c r="M21" s="18">
        <v>0.59</v>
      </c>
      <c r="N21" s="46"/>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15"/>
      <c r="CL21" s="15"/>
      <c r="CM21" s="15"/>
      <c r="CN21" s="15"/>
      <c r="CO21" s="15"/>
      <c r="CP21" s="15"/>
      <c r="CQ21" s="15"/>
      <c r="CR21" s="15"/>
      <c r="CS21" s="15"/>
      <c r="CT21" s="15"/>
      <c r="CU21" s="15"/>
      <c r="CV21" s="15"/>
      <c r="CW21" s="15"/>
      <c r="CX21" s="15"/>
      <c r="CY21" s="15"/>
      <c r="CZ21" s="15"/>
      <c r="DA21" s="15"/>
      <c r="DB21" s="15"/>
      <c r="DC21" s="15"/>
      <c r="DD21" s="15"/>
      <c r="DE21" s="15"/>
      <c r="DF21" s="15"/>
      <c r="DG21" s="15"/>
      <c r="DH21" s="15"/>
      <c r="DI21" s="15"/>
      <c r="DJ21" s="15"/>
      <c r="DK21" s="15"/>
      <c r="DL21" s="15"/>
      <c r="DM21" s="15"/>
      <c r="DN21" s="15"/>
      <c r="DO21" s="15"/>
      <c r="DP21" s="15"/>
      <c r="DQ21" s="15"/>
      <c r="DR21" s="15"/>
      <c r="DS21" s="15"/>
      <c r="DT21" s="15"/>
      <c r="DU21" s="15"/>
      <c r="DV21" s="15"/>
      <c r="DW21" s="15"/>
      <c r="DX21" s="15"/>
      <c r="DY21" s="15"/>
      <c r="DZ21" s="15"/>
      <c r="EA21" s="15"/>
      <c r="EB21" s="15"/>
      <c r="EC21" s="15"/>
      <c r="ED21" s="15"/>
      <c r="EE21" s="15"/>
      <c r="EF21" s="15"/>
      <c r="EG21" s="15"/>
      <c r="EH21" s="15"/>
      <c r="EI21" s="15"/>
      <c r="EJ21" s="15"/>
      <c r="EK21" s="15"/>
      <c r="EL21" s="15"/>
      <c r="EM21" s="15"/>
      <c r="EN21" s="15"/>
      <c r="EO21" s="15"/>
      <c r="EP21" s="15"/>
      <c r="EQ21" s="15"/>
      <c r="ER21" s="15"/>
      <c r="ES21" s="15"/>
      <c r="ET21" s="15"/>
      <c r="EU21" s="15"/>
      <c r="EV21" s="15"/>
      <c r="EW21" s="15"/>
      <c r="EX21" s="15"/>
      <c r="EY21" s="15"/>
      <c r="EZ21" s="15"/>
      <c r="FA21" s="15"/>
      <c r="FB21" s="15"/>
      <c r="FC21" s="15"/>
      <c r="FD21" s="15"/>
      <c r="FE21" s="15"/>
      <c r="FF21" s="15"/>
      <c r="FG21" s="15"/>
      <c r="FH21" s="15"/>
      <c r="FI21" s="15"/>
      <c r="FJ21" s="15"/>
      <c r="FK21" s="15"/>
      <c r="FL21" s="15"/>
      <c r="FM21" s="15"/>
      <c r="FN21" s="15"/>
      <c r="FO21" s="15"/>
      <c r="FP21" s="15"/>
      <c r="FQ21" s="15"/>
      <c r="FR21" s="15"/>
      <c r="FS21" s="15"/>
      <c r="FT21" s="15"/>
      <c r="FU21" s="15"/>
      <c r="FV21" s="15"/>
      <c r="FW21" s="15"/>
      <c r="FX21" s="15"/>
      <c r="FY21" s="15"/>
      <c r="FZ21" s="15"/>
      <c r="GA21" s="15"/>
      <c r="GB21" s="15"/>
      <c r="GC21" s="15"/>
      <c r="GD21" s="15"/>
      <c r="GE21" s="15"/>
      <c r="GF21" s="15"/>
      <c r="GG21" s="15"/>
      <c r="GH21" s="15"/>
      <c r="GI21" s="15"/>
      <c r="GJ21" s="15"/>
      <c r="GK21" s="15"/>
      <c r="GL21" s="15"/>
      <c r="GM21" s="15"/>
      <c r="GN21" s="15"/>
      <c r="GO21" s="15"/>
      <c r="GP21" s="15"/>
      <c r="GQ21" s="15"/>
      <c r="GR21" s="15"/>
      <c r="GS21" s="15"/>
      <c r="GT21" s="15"/>
      <c r="GU21" s="15"/>
      <c r="GV21" s="15"/>
      <c r="GW21" s="15"/>
      <c r="GX21" s="15"/>
      <c r="GY21" s="15"/>
      <c r="GZ21" s="15"/>
      <c r="HA21" s="15"/>
      <c r="HB21" s="15"/>
      <c r="HC21" s="15"/>
      <c r="HD21" s="15"/>
      <c r="HE21" s="15"/>
      <c r="HF21" s="15"/>
      <c r="HG21" s="15"/>
      <c r="HH21" s="15"/>
      <c r="HI21" s="15"/>
      <c r="HJ21" s="15"/>
      <c r="HK21" s="15"/>
      <c r="HL21" s="15"/>
      <c r="HM21" s="15"/>
      <c r="HN21" s="15"/>
      <c r="HO21" s="15"/>
      <c r="HP21" s="15"/>
      <c r="HQ21" s="15"/>
      <c r="HR21" s="15"/>
      <c r="HS21" s="15"/>
      <c r="HT21" s="15"/>
      <c r="HU21" s="15"/>
      <c r="HV21" s="15"/>
      <c r="HW21" s="15"/>
      <c r="HX21" s="15"/>
      <c r="HY21" s="15"/>
      <c r="HZ21" s="15"/>
      <c r="IA21" s="15"/>
      <c r="IB21" s="15"/>
      <c r="IC21" s="15"/>
      <c r="ID21" s="15"/>
      <c r="IE21" s="15"/>
      <c r="IF21" s="15"/>
      <c r="IG21" s="15"/>
      <c r="IH21" s="15"/>
      <c r="II21" s="15"/>
      <c r="IJ21" s="15"/>
      <c r="IK21" s="15"/>
      <c r="IL21" s="15"/>
      <c r="IM21" s="15"/>
      <c r="IN21" s="15"/>
      <c r="IO21" s="15"/>
      <c r="IP21" s="15"/>
      <c r="IQ21" s="15"/>
      <c r="IR21" s="15"/>
      <c r="IS21" s="15"/>
      <c r="IT21" s="15"/>
      <c r="IU21" s="15"/>
      <c r="IV21" s="15"/>
      <c r="IW21" s="15"/>
      <c r="IX21" s="15"/>
      <c r="IY21" s="15"/>
      <c r="IZ21" s="15"/>
      <c r="JA21" s="15"/>
      <c r="JB21" s="15"/>
      <c r="JC21" s="15"/>
      <c r="JD21" s="15"/>
      <c r="JE21" s="15"/>
      <c r="JF21" s="15"/>
      <c r="JG21" s="15"/>
      <c r="JH21" s="15"/>
      <c r="JI21" s="15"/>
      <c r="JJ21" s="15"/>
      <c r="JK21" s="15"/>
      <c r="JL21" s="15"/>
      <c r="JM21" s="15"/>
      <c r="JN21" s="15"/>
      <c r="JO21" s="15"/>
      <c r="JP21" s="15"/>
      <c r="JQ21" s="15"/>
      <c r="JR21" s="15"/>
      <c r="JS21" s="15"/>
      <c r="JT21" s="15"/>
      <c r="JU21" s="15"/>
      <c r="JV21" s="15"/>
      <c r="JW21" s="15"/>
      <c r="JX21" s="15"/>
      <c r="JY21" s="15"/>
      <c r="JZ21" s="15"/>
      <c r="KA21" s="15"/>
      <c r="KB21" s="15"/>
      <c r="KC21" s="15"/>
      <c r="KD21" s="15"/>
      <c r="KE21" s="15"/>
      <c r="KF21" s="15"/>
      <c r="KG21" s="15"/>
      <c r="KH21" s="15"/>
      <c r="KI21" s="15"/>
      <c r="KJ21" s="15"/>
      <c r="KK21" s="15"/>
      <c r="KL21" s="15"/>
      <c r="KM21" s="15"/>
      <c r="KN21" s="15"/>
      <c r="KO21" s="15"/>
      <c r="KP21" s="15"/>
      <c r="KQ21" s="15"/>
      <c r="KR21" s="15"/>
      <c r="KS21" s="15"/>
      <c r="KT21" s="15"/>
      <c r="KU21" s="15"/>
      <c r="KV21" s="15"/>
      <c r="KW21" s="15"/>
      <c r="KX21" s="15"/>
      <c r="KY21" s="15"/>
      <c r="KZ21" s="15"/>
      <c r="LA21" s="15"/>
      <c r="LB21" s="15"/>
      <c r="LC21" s="15"/>
      <c r="LD21" s="15"/>
      <c r="LE21" s="15"/>
      <c r="LF21" s="15"/>
      <c r="LG21" s="15"/>
      <c r="LH21" s="15"/>
      <c r="LI21" s="15"/>
      <c r="LJ21" s="15"/>
      <c r="LK21" s="15"/>
      <c r="LL21" s="15"/>
      <c r="LM21" s="15"/>
      <c r="LN21" s="15"/>
      <c r="LO21" s="15"/>
      <c r="LP21" s="15"/>
      <c r="LQ21" s="15"/>
      <c r="LR21" s="15"/>
      <c r="LS21" s="15"/>
      <c r="LT21" s="15"/>
      <c r="LU21" s="15"/>
      <c r="LV21" s="15"/>
      <c r="LW21" s="15"/>
      <c r="LX21" s="15"/>
      <c r="LY21" s="15"/>
      <c r="LZ21" s="15"/>
      <c r="MA21" s="15"/>
      <c r="MB21" s="15"/>
      <c r="MC21" s="15"/>
      <c r="MD21" s="15"/>
      <c r="ME21" s="15"/>
      <c r="MF21" s="15"/>
      <c r="MG21" s="15"/>
      <c r="MH21" s="15"/>
      <c r="MI21" s="15"/>
      <c r="MJ21" s="15"/>
      <c r="MK21" s="15"/>
      <c r="ML21" s="15"/>
      <c r="MM21" s="15"/>
      <c r="MN21" s="15"/>
      <c r="MO21" s="15"/>
      <c r="MP21" s="15"/>
      <c r="MQ21" s="15"/>
    </row>
    <row r="22" spans="1:355" s="15" customFormat="1" ht="39.950000000000003" customHeight="1" x14ac:dyDescent="0.25">
      <c r="A22" s="22">
        <v>15</v>
      </c>
      <c r="B22" s="27" t="s">
        <v>54</v>
      </c>
      <c r="C22" s="21">
        <v>350</v>
      </c>
      <c r="D22" s="21">
        <v>500</v>
      </c>
      <c r="E22" s="21">
        <v>340</v>
      </c>
      <c r="F22" s="21">
        <v>45</v>
      </c>
      <c r="G22" s="18">
        <v>500</v>
      </c>
      <c r="H22" s="18">
        <v>0.55000000000000004</v>
      </c>
      <c r="I22" s="21">
        <v>2</v>
      </c>
      <c r="J22" s="21">
        <v>3</v>
      </c>
      <c r="K22" s="49" t="s">
        <v>77</v>
      </c>
      <c r="L22" s="18">
        <v>608</v>
      </c>
      <c r="M22" s="18">
        <v>0.57999999999999996</v>
      </c>
      <c r="N22" s="46"/>
    </row>
    <row r="23" spans="1:355" s="15" customFormat="1" ht="39.950000000000003" customHeight="1" x14ac:dyDescent="0.25">
      <c r="A23" s="22">
        <v>16</v>
      </c>
      <c r="B23" s="27" t="s">
        <v>54</v>
      </c>
      <c r="C23" s="21">
        <v>700</v>
      </c>
      <c r="D23" s="21">
        <v>450</v>
      </c>
      <c r="E23" s="21">
        <v>350</v>
      </c>
      <c r="F23" s="21">
        <v>50</v>
      </c>
      <c r="G23" s="18">
        <v>700</v>
      </c>
      <c r="H23" s="18">
        <v>0.5</v>
      </c>
      <c r="I23" s="21">
        <v>3</v>
      </c>
      <c r="J23" s="21">
        <v>3</v>
      </c>
      <c r="K23" s="49" t="s">
        <v>47</v>
      </c>
      <c r="L23" s="18">
        <v>682</v>
      </c>
      <c r="M23" s="18">
        <v>0.52</v>
      </c>
      <c r="N23" s="46"/>
    </row>
    <row r="24" spans="1:355" s="16" customFormat="1" ht="39.950000000000003" customHeight="1" x14ac:dyDescent="0.25">
      <c r="A24" s="22">
        <v>17</v>
      </c>
      <c r="B24" s="21" t="s">
        <v>55</v>
      </c>
      <c r="C24" s="21">
        <v>600</v>
      </c>
      <c r="D24" s="21">
        <v>750</v>
      </c>
      <c r="E24" s="21">
        <v>350</v>
      </c>
      <c r="F24" s="21">
        <v>55</v>
      </c>
      <c r="G24" s="18">
        <v>750</v>
      </c>
      <c r="H24" s="18">
        <v>0.6</v>
      </c>
      <c r="I24" s="21">
        <v>3</v>
      </c>
      <c r="J24" s="21">
        <v>4</v>
      </c>
      <c r="K24" s="49" t="s">
        <v>78</v>
      </c>
      <c r="L24" s="18">
        <v>745</v>
      </c>
      <c r="M24" s="18">
        <v>0.59</v>
      </c>
      <c r="N24" s="46"/>
      <c r="O24" s="15"/>
      <c r="P24" s="15"/>
      <c r="Q24" s="15"/>
      <c r="R24" s="15"/>
      <c r="S24" s="15"/>
      <c r="T24" s="15"/>
      <c r="U24" s="15"/>
      <c r="V24" s="15"/>
      <c r="W24" s="15"/>
      <c r="X24" s="15"/>
      <c r="Y24" s="15"/>
      <c r="Z24" s="15"/>
      <c r="AA24" s="15"/>
      <c r="AB24" s="15"/>
      <c r="AC24" s="15"/>
      <c r="AD24" s="15"/>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15"/>
      <c r="CL24" s="15"/>
      <c r="CM24" s="15"/>
      <c r="CN24" s="15"/>
      <c r="CO24" s="15"/>
      <c r="CP24" s="15"/>
      <c r="CQ24" s="15"/>
      <c r="CR24" s="15"/>
      <c r="CS24" s="15"/>
      <c r="CT24" s="15"/>
      <c r="CU24" s="15"/>
      <c r="CV24" s="15"/>
      <c r="CW24" s="15"/>
      <c r="CX24" s="15"/>
      <c r="CY24" s="15"/>
      <c r="CZ24" s="15"/>
      <c r="DA24" s="15"/>
      <c r="DB24" s="15"/>
      <c r="DC24" s="15"/>
      <c r="DD24" s="15"/>
      <c r="DE24" s="15"/>
      <c r="DF24" s="15"/>
      <c r="DG24" s="15"/>
      <c r="DH24" s="15"/>
      <c r="DI24" s="15"/>
      <c r="DJ24" s="15"/>
      <c r="DK24" s="15"/>
      <c r="DL24" s="15"/>
      <c r="DM24" s="15"/>
      <c r="DN24" s="15"/>
      <c r="DO24" s="15"/>
      <c r="DP24" s="15"/>
      <c r="DQ24" s="15"/>
      <c r="DR24" s="15"/>
      <c r="DS24" s="15"/>
      <c r="DT24" s="15"/>
      <c r="DU24" s="15"/>
      <c r="DV24" s="15"/>
      <c r="DW24" s="15"/>
      <c r="DX24" s="15"/>
      <c r="DY24" s="15"/>
      <c r="DZ24" s="15"/>
      <c r="EA24" s="15"/>
      <c r="EB24" s="15"/>
      <c r="EC24" s="15"/>
      <c r="ED24" s="15"/>
      <c r="EE24" s="15"/>
      <c r="EF24" s="15"/>
      <c r="EG24" s="15"/>
      <c r="EH24" s="15"/>
      <c r="EI24" s="15"/>
      <c r="EJ24" s="15"/>
      <c r="EK24" s="15"/>
      <c r="EL24" s="15"/>
      <c r="EM24" s="15"/>
      <c r="EN24" s="15"/>
      <c r="EO24" s="15"/>
      <c r="EP24" s="15"/>
      <c r="EQ24" s="15"/>
      <c r="ER24" s="15"/>
      <c r="ES24" s="15"/>
      <c r="ET24" s="15"/>
      <c r="EU24" s="15"/>
      <c r="EV24" s="15"/>
      <c r="EW24" s="15"/>
      <c r="EX24" s="15"/>
      <c r="EY24" s="15"/>
      <c r="EZ24" s="15"/>
      <c r="FA24" s="15"/>
      <c r="FB24" s="15"/>
      <c r="FC24" s="15"/>
      <c r="FD24" s="15"/>
      <c r="FE24" s="15"/>
      <c r="FF24" s="15"/>
      <c r="FG24" s="15"/>
      <c r="FH24" s="15"/>
      <c r="FI24" s="15"/>
      <c r="FJ24" s="15"/>
      <c r="FK24" s="15"/>
      <c r="FL24" s="15"/>
      <c r="FM24" s="15"/>
      <c r="FN24" s="15"/>
      <c r="FO24" s="15"/>
      <c r="FP24" s="15"/>
      <c r="FQ24" s="15"/>
      <c r="FR24" s="15"/>
      <c r="FS24" s="15"/>
      <c r="FT24" s="15"/>
      <c r="FU24" s="15"/>
      <c r="FV24" s="15"/>
      <c r="FW24" s="15"/>
      <c r="FX24" s="15"/>
      <c r="FY24" s="15"/>
      <c r="FZ24" s="15"/>
      <c r="GA24" s="15"/>
      <c r="GB24" s="15"/>
      <c r="GC24" s="15"/>
      <c r="GD24" s="15"/>
      <c r="GE24" s="15"/>
      <c r="GF24" s="15"/>
      <c r="GG24" s="15"/>
      <c r="GH24" s="15"/>
      <c r="GI24" s="15"/>
      <c r="GJ24" s="15"/>
      <c r="GK24" s="15"/>
      <c r="GL24" s="15"/>
      <c r="GM24" s="15"/>
      <c r="GN24" s="15"/>
      <c r="GO24" s="15"/>
      <c r="GP24" s="15"/>
      <c r="GQ24" s="15"/>
      <c r="GR24" s="15"/>
      <c r="GS24" s="15"/>
      <c r="GT24" s="15"/>
      <c r="GU24" s="15"/>
      <c r="GV24" s="15"/>
      <c r="GW24" s="15"/>
      <c r="GX24" s="15"/>
      <c r="GY24" s="15"/>
      <c r="GZ24" s="15"/>
      <c r="HA24" s="15"/>
      <c r="HB24" s="15"/>
      <c r="HC24" s="15"/>
      <c r="HD24" s="15"/>
      <c r="HE24" s="15"/>
      <c r="HF24" s="15"/>
      <c r="HG24" s="15"/>
      <c r="HH24" s="15"/>
      <c r="HI24" s="15"/>
      <c r="HJ24" s="15"/>
      <c r="HK24" s="15"/>
      <c r="HL24" s="15"/>
      <c r="HM24" s="15"/>
      <c r="HN24" s="15"/>
      <c r="HO24" s="15"/>
      <c r="HP24" s="15"/>
      <c r="HQ24" s="15"/>
      <c r="HR24" s="15"/>
      <c r="HS24" s="15"/>
      <c r="HT24" s="15"/>
      <c r="HU24" s="15"/>
      <c r="HV24" s="15"/>
      <c r="HW24" s="15"/>
      <c r="HX24" s="15"/>
      <c r="HY24" s="15"/>
      <c r="HZ24" s="15"/>
      <c r="IA24" s="15"/>
      <c r="IB24" s="15"/>
      <c r="IC24" s="15"/>
      <c r="ID24" s="15"/>
      <c r="IE24" s="15"/>
      <c r="IF24" s="15"/>
      <c r="IG24" s="15"/>
      <c r="IH24" s="15"/>
      <c r="II24" s="15"/>
      <c r="IJ24" s="15"/>
      <c r="IK24" s="15"/>
      <c r="IL24" s="15"/>
      <c r="IM24" s="15"/>
      <c r="IN24" s="15"/>
      <c r="IO24" s="15"/>
      <c r="IP24" s="15"/>
      <c r="IQ24" s="15"/>
      <c r="IR24" s="15"/>
      <c r="IS24" s="15"/>
      <c r="IT24" s="15"/>
      <c r="IU24" s="15"/>
      <c r="IV24" s="15"/>
      <c r="IW24" s="15"/>
      <c r="IX24" s="15"/>
      <c r="IY24" s="15"/>
      <c r="IZ24" s="15"/>
      <c r="JA24" s="15"/>
      <c r="JB24" s="15"/>
      <c r="JC24" s="15"/>
      <c r="JD24" s="15"/>
      <c r="JE24" s="15"/>
      <c r="JF24" s="15"/>
      <c r="JG24" s="15"/>
      <c r="JH24" s="15"/>
      <c r="JI24" s="15"/>
      <c r="JJ24" s="15"/>
      <c r="JK24" s="15"/>
      <c r="JL24" s="15"/>
      <c r="JM24" s="15"/>
      <c r="JN24" s="15"/>
      <c r="JO24" s="15"/>
      <c r="JP24" s="15"/>
      <c r="JQ24" s="15"/>
      <c r="JR24" s="15"/>
      <c r="JS24" s="15"/>
      <c r="JT24" s="15"/>
      <c r="JU24" s="15"/>
      <c r="JV24" s="15"/>
      <c r="JW24" s="15"/>
      <c r="JX24" s="15"/>
      <c r="JY24" s="15"/>
      <c r="JZ24" s="15"/>
      <c r="KA24" s="15"/>
      <c r="KB24" s="15"/>
      <c r="KC24" s="15"/>
      <c r="KD24" s="15"/>
      <c r="KE24" s="15"/>
      <c r="KF24" s="15"/>
      <c r="KG24" s="15"/>
      <c r="KH24" s="15"/>
      <c r="KI24" s="15"/>
      <c r="KJ24" s="15"/>
      <c r="KK24" s="15"/>
      <c r="KL24" s="15"/>
      <c r="KM24" s="15"/>
      <c r="KN24" s="15"/>
      <c r="KO24" s="15"/>
      <c r="KP24" s="15"/>
      <c r="KQ24" s="15"/>
      <c r="KR24" s="15"/>
      <c r="KS24" s="15"/>
      <c r="KT24" s="15"/>
      <c r="KU24" s="15"/>
      <c r="KV24" s="15"/>
      <c r="KW24" s="15"/>
      <c r="KX24" s="15"/>
      <c r="KY24" s="15"/>
      <c r="KZ24" s="15"/>
      <c r="LA24" s="15"/>
      <c r="LB24" s="15"/>
      <c r="LC24" s="15"/>
      <c r="LD24" s="15"/>
      <c r="LE24" s="15"/>
      <c r="LF24" s="15"/>
      <c r="LG24" s="15"/>
      <c r="LH24" s="15"/>
      <c r="LI24" s="15"/>
      <c r="LJ24" s="15"/>
      <c r="LK24" s="15"/>
      <c r="LL24" s="15"/>
      <c r="LM24" s="15"/>
      <c r="LN24" s="15"/>
      <c r="LO24" s="15"/>
      <c r="LP24" s="15"/>
      <c r="LQ24" s="15"/>
      <c r="LR24" s="15"/>
      <c r="LS24" s="15"/>
      <c r="LT24" s="15"/>
      <c r="LU24" s="15"/>
      <c r="LV24" s="15"/>
      <c r="LW24" s="15"/>
      <c r="LX24" s="15"/>
      <c r="LY24" s="15"/>
      <c r="LZ24" s="15"/>
      <c r="MA24" s="15"/>
      <c r="MB24" s="15"/>
      <c r="MC24" s="15"/>
      <c r="MD24" s="15"/>
      <c r="ME24" s="15"/>
      <c r="MF24" s="15"/>
      <c r="MG24" s="15"/>
      <c r="MH24" s="15"/>
      <c r="MI24" s="15"/>
      <c r="MJ24" s="15"/>
      <c r="MK24" s="15"/>
      <c r="ML24" s="15"/>
      <c r="MM24" s="15"/>
      <c r="MN24" s="15"/>
      <c r="MO24" s="15"/>
      <c r="MP24" s="15"/>
      <c r="MQ24" s="15"/>
    </row>
    <row r="25" spans="1:355" s="15" customFormat="1" ht="39.950000000000003" customHeight="1" x14ac:dyDescent="0.25">
      <c r="A25" s="22">
        <v>18</v>
      </c>
      <c r="B25" s="21" t="s">
        <v>5</v>
      </c>
      <c r="C25" s="21">
        <v>300</v>
      </c>
      <c r="D25" s="21">
        <v>400</v>
      </c>
      <c r="E25" s="21">
        <v>370</v>
      </c>
      <c r="F25" s="21">
        <v>55</v>
      </c>
      <c r="G25" s="18">
        <v>300</v>
      </c>
      <c r="H25" s="18">
        <v>0.6</v>
      </c>
      <c r="I25" s="21">
        <v>2</v>
      </c>
      <c r="J25" s="21">
        <v>2</v>
      </c>
      <c r="K25" s="49" t="s">
        <v>46</v>
      </c>
      <c r="L25" s="18">
        <v>229</v>
      </c>
      <c r="M25" s="18">
        <v>0.46</v>
      </c>
      <c r="N25" s="46"/>
    </row>
    <row r="26" spans="1:355" s="17" customFormat="1" ht="39.950000000000003" customHeight="1" x14ac:dyDescent="0.25">
      <c r="A26" s="22">
        <v>19</v>
      </c>
      <c r="B26" s="21" t="s">
        <v>56</v>
      </c>
      <c r="C26" s="21">
        <v>900</v>
      </c>
      <c r="D26" s="21">
        <v>1000</v>
      </c>
      <c r="E26" s="21">
        <v>400</v>
      </c>
      <c r="F26" s="21">
        <v>70</v>
      </c>
      <c r="G26" s="18">
        <v>750</v>
      </c>
      <c r="H26" s="18">
        <v>0.55000000000000004</v>
      </c>
      <c r="I26" s="21">
        <v>4</v>
      </c>
      <c r="J26" s="21">
        <v>5</v>
      </c>
      <c r="K26" s="49" t="s">
        <v>45</v>
      </c>
      <c r="L26" s="18">
        <v>776</v>
      </c>
      <c r="M26" s="18">
        <v>0.57999999999999996</v>
      </c>
      <c r="N26" s="46"/>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c r="BV26" s="15"/>
      <c r="BW26" s="15"/>
      <c r="BX26" s="15"/>
      <c r="BY26" s="15"/>
      <c r="BZ26" s="15"/>
      <c r="CA26" s="15"/>
      <c r="CB26" s="15"/>
      <c r="CC26" s="15"/>
      <c r="CD26" s="15"/>
      <c r="CE26" s="15"/>
      <c r="CF26" s="15"/>
      <c r="CG26" s="15"/>
      <c r="CH26" s="15"/>
      <c r="CI26" s="15"/>
      <c r="CJ26" s="15"/>
      <c r="CK26" s="15"/>
      <c r="CL26" s="15"/>
      <c r="CM26" s="15"/>
      <c r="CN26" s="15"/>
      <c r="CO26" s="15"/>
      <c r="CP26" s="15"/>
      <c r="CQ26" s="15"/>
      <c r="CR26" s="15"/>
      <c r="CS26" s="15"/>
      <c r="CT26" s="15"/>
      <c r="CU26" s="15"/>
      <c r="CV26" s="15"/>
      <c r="CW26" s="15"/>
      <c r="CX26" s="15"/>
      <c r="CY26" s="15"/>
      <c r="CZ26" s="15"/>
      <c r="DA26" s="15"/>
      <c r="DB26" s="15"/>
      <c r="DC26" s="15"/>
      <c r="DD26" s="15"/>
      <c r="DE26" s="15"/>
      <c r="DF26" s="15"/>
      <c r="DG26" s="15"/>
      <c r="DH26" s="15"/>
      <c r="DI26" s="15"/>
      <c r="DJ26" s="15"/>
      <c r="DK26" s="15"/>
      <c r="DL26" s="15"/>
      <c r="DM26" s="15"/>
      <c r="DN26" s="15"/>
      <c r="DO26" s="15"/>
      <c r="DP26" s="15"/>
      <c r="DQ26" s="15"/>
      <c r="DR26" s="15"/>
      <c r="DS26" s="15"/>
      <c r="DT26" s="15"/>
      <c r="DU26" s="15"/>
      <c r="DV26" s="15"/>
      <c r="DW26" s="15"/>
      <c r="DX26" s="15"/>
      <c r="DY26" s="15"/>
      <c r="DZ26" s="15"/>
      <c r="EA26" s="15"/>
      <c r="EB26" s="15"/>
      <c r="EC26" s="15"/>
      <c r="ED26" s="15"/>
      <c r="EE26" s="15"/>
      <c r="EF26" s="15"/>
      <c r="EG26" s="15"/>
      <c r="EH26" s="15"/>
      <c r="EI26" s="15"/>
      <c r="EJ26" s="15"/>
      <c r="EK26" s="15"/>
      <c r="EL26" s="15"/>
      <c r="EM26" s="15"/>
      <c r="EN26" s="15"/>
      <c r="EO26" s="15"/>
      <c r="EP26" s="15"/>
      <c r="EQ26" s="15"/>
      <c r="ER26" s="15"/>
      <c r="ES26" s="15"/>
      <c r="ET26" s="15"/>
      <c r="EU26" s="15"/>
      <c r="EV26" s="15"/>
      <c r="EW26" s="15"/>
      <c r="EX26" s="15"/>
      <c r="EY26" s="15"/>
      <c r="EZ26" s="15"/>
      <c r="FA26" s="15"/>
      <c r="FB26" s="15"/>
      <c r="FC26" s="15"/>
      <c r="FD26" s="15"/>
      <c r="FE26" s="15"/>
      <c r="FF26" s="15"/>
      <c r="FG26" s="15"/>
      <c r="FH26" s="15"/>
      <c r="FI26" s="15"/>
      <c r="FJ26" s="15"/>
      <c r="FK26" s="15"/>
      <c r="FL26" s="15"/>
      <c r="FM26" s="15"/>
      <c r="FN26" s="15"/>
      <c r="FO26" s="15"/>
      <c r="FP26" s="15"/>
      <c r="FQ26" s="15"/>
      <c r="FR26" s="15"/>
      <c r="FS26" s="15"/>
      <c r="FT26" s="15"/>
      <c r="FU26" s="15"/>
      <c r="FV26" s="15"/>
      <c r="FW26" s="15"/>
      <c r="FX26" s="15"/>
      <c r="FY26" s="15"/>
      <c r="FZ26" s="15"/>
      <c r="GA26" s="15"/>
      <c r="GB26" s="15"/>
      <c r="GC26" s="15"/>
      <c r="GD26" s="15"/>
      <c r="GE26" s="15"/>
      <c r="GF26" s="15"/>
      <c r="GG26" s="15"/>
      <c r="GH26" s="15"/>
      <c r="GI26" s="15"/>
      <c r="GJ26" s="15"/>
      <c r="GK26" s="15"/>
      <c r="GL26" s="15"/>
      <c r="GM26" s="15"/>
      <c r="GN26" s="15"/>
      <c r="GO26" s="15"/>
      <c r="GP26" s="15"/>
      <c r="GQ26" s="15"/>
      <c r="GR26" s="15"/>
      <c r="GS26" s="15"/>
      <c r="GT26" s="15"/>
      <c r="GU26" s="15"/>
      <c r="GV26" s="15"/>
      <c r="GW26" s="15"/>
      <c r="GX26" s="15"/>
      <c r="GY26" s="15"/>
      <c r="GZ26" s="15"/>
      <c r="HA26" s="15"/>
      <c r="HB26" s="15"/>
      <c r="HC26" s="15"/>
      <c r="HD26" s="15"/>
      <c r="HE26" s="15"/>
      <c r="HF26" s="15"/>
      <c r="HG26" s="15"/>
      <c r="HH26" s="15"/>
      <c r="HI26" s="15"/>
      <c r="HJ26" s="15"/>
      <c r="HK26" s="15"/>
      <c r="HL26" s="15"/>
      <c r="HM26" s="15"/>
      <c r="HN26" s="15"/>
      <c r="HO26" s="15"/>
      <c r="HP26" s="15"/>
      <c r="HQ26" s="15"/>
      <c r="HR26" s="15"/>
      <c r="HS26" s="15"/>
      <c r="HT26" s="15"/>
      <c r="HU26" s="15"/>
      <c r="HV26" s="15"/>
      <c r="HW26" s="15"/>
      <c r="HX26" s="15"/>
      <c r="HY26" s="15"/>
      <c r="HZ26" s="15"/>
      <c r="IA26" s="15"/>
      <c r="IB26" s="15"/>
      <c r="IC26" s="15"/>
      <c r="ID26" s="15"/>
      <c r="IE26" s="15"/>
      <c r="IF26" s="15"/>
      <c r="IG26" s="15"/>
      <c r="IH26" s="15"/>
      <c r="II26" s="15"/>
      <c r="IJ26" s="15"/>
      <c r="IK26" s="15"/>
      <c r="IL26" s="15"/>
      <c r="IM26" s="15"/>
      <c r="IN26" s="15"/>
      <c r="IO26" s="15"/>
      <c r="IP26" s="15"/>
      <c r="IQ26" s="15"/>
      <c r="IR26" s="15"/>
      <c r="IS26" s="15"/>
      <c r="IT26" s="15"/>
      <c r="IU26" s="15"/>
      <c r="IV26" s="15"/>
      <c r="IW26" s="15"/>
      <c r="IX26" s="15"/>
      <c r="IY26" s="15"/>
      <c r="IZ26" s="15"/>
      <c r="JA26" s="15"/>
      <c r="JB26" s="15"/>
      <c r="JC26" s="15"/>
      <c r="JD26" s="15"/>
      <c r="JE26" s="15"/>
      <c r="JF26" s="15"/>
      <c r="JG26" s="15"/>
      <c r="JH26" s="15"/>
      <c r="JI26" s="15"/>
      <c r="JJ26" s="15"/>
      <c r="JK26" s="15"/>
      <c r="JL26" s="15"/>
      <c r="JM26" s="15"/>
      <c r="JN26" s="15"/>
      <c r="JO26" s="15"/>
      <c r="JP26" s="15"/>
      <c r="JQ26" s="15"/>
      <c r="JR26" s="15"/>
      <c r="JS26" s="15"/>
      <c r="JT26" s="15"/>
      <c r="JU26" s="15"/>
      <c r="JV26" s="15"/>
      <c r="JW26" s="15"/>
      <c r="JX26" s="15"/>
      <c r="JY26" s="15"/>
      <c r="JZ26" s="15"/>
      <c r="KA26" s="15"/>
      <c r="KB26" s="15"/>
      <c r="KC26" s="15"/>
      <c r="KD26" s="15"/>
      <c r="KE26" s="15"/>
      <c r="KF26" s="15"/>
      <c r="KG26" s="15"/>
      <c r="KH26" s="15"/>
      <c r="KI26" s="15"/>
      <c r="KJ26" s="15"/>
      <c r="KK26" s="15"/>
      <c r="KL26" s="15"/>
      <c r="KM26" s="15"/>
      <c r="KN26" s="15"/>
      <c r="KO26" s="15"/>
      <c r="KP26" s="15"/>
      <c r="KQ26" s="15"/>
      <c r="KR26" s="15"/>
      <c r="KS26" s="15"/>
      <c r="KT26" s="15"/>
      <c r="KU26" s="15"/>
      <c r="KV26" s="15"/>
      <c r="KW26" s="15"/>
      <c r="KX26" s="15"/>
      <c r="KY26" s="15"/>
      <c r="KZ26" s="15"/>
      <c r="LA26" s="15"/>
      <c r="LB26" s="15"/>
      <c r="LC26" s="15"/>
      <c r="LD26" s="15"/>
      <c r="LE26" s="15"/>
      <c r="LF26" s="15"/>
      <c r="LG26" s="15"/>
      <c r="LH26" s="15"/>
      <c r="LI26" s="15"/>
      <c r="LJ26" s="15"/>
      <c r="LK26" s="15"/>
      <c r="LL26" s="15"/>
      <c r="LM26" s="15"/>
      <c r="LN26" s="15"/>
      <c r="LO26" s="15"/>
      <c r="LP26" s="15"/>
      <c r="LQ26" s="15"/>
      <c r="LR26" s="15"/>
      <c r="LS26" s="15"/>
      <c r="LT26" s="15"/>
      <c r="LU26" s="15"/>
      <c r="LV26" s="15"/>
      <c r="LW26" s="15"/>
      <c r="LX26" s="15"/>
      <c r="LY26" s="15"/>
      <c r="LZ26" s="15"/>
      <c r="MA26" s="15"/>
      <c r="MB26" s="15"/>
      <c r="MC26" s="15"/>
      <c r="MD26" s="15"/>
      <c r="ME26" s="15"/>
      <c r="MF26" s="15"/>
      <c r="MG26" s="15"/>
      <c r="MH26" s="15"/>
      <c r="MI26" s="15"/>
      <c r="MJ26" s="15"/>
      <c r="MK26" s="15"/>
      <c r="ML26" s="15"/>
      <c r="MM26" s="15"/>
      <c r="MN26" s="15"/>
      <c r="MO26" s="15"/>
      <c r="MP26" s="15"/>
      <c r="MQ26" s="15"/>
    </row>
    <row r="27" spans="1:355" s="16" customFormat="1" ht="39.950000000000003" customHeight="1" x14ac:dyDescent="0.25">
      <c r="A27" s="28">
        <v>20</v>
      </c>
      <c r="B27" s="21" t="s">
        <v>55</v>
      </c>
      <c r="C27" s="21">
        <v>750</v>
      </c>
      <c r="D27" s="21">
        <v>800</v>
      </c>
      <c r="E27" s="21">
        <v>420</v>
      </c>
      <c r="F27" s="21">
        <v>60</v>
      </c>
      <c r="G27" s="18">
        <v>500</v>
      </c>
      <c r="H27" s="18">
        <v>0.6</v>
      </c>
      <c r="I27" s="21">
        <v>3</v>
      </c>
      <c r="J27" s="21">
        <v>4</v>
      </c>
      <c r="K27" s="49" t="s">
        <v>44</v>
      </c>
      <c r="L27" s="18">
        <v>559</v>
      </c>
      <c r="M27" s="18">
        <v>0.59</v>
      </c>
      <c r="N27" s="46"/>
      <c r="O27" s="15"/>
      <c r="P27" s="15"/>
      <c r="Q27" s="15"/>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c r="CW27" s="15"/>
      <c r="CX27" s="15"/>
      <c r="CY27" s="15"/>
      <c r="CZ27" s="15"/>
      <c r="DA27" s="15"/>
      <c r="DB27" s="15"/>
      <c r="DC27" s="15"/>
      <c r="DD27" s="15"/>
      <c r="DE27" s="15"/>
      <c r="DF27" s="15"/>
      <c r="DG27" s="15"/>
      <c r="DH27" s="15"/>
      <c r="DI27" s="15"/>
      <c r="DJ27" s="15"/>
      <c r="DK27" s="15"/>
      <c r="DL27" s="15"/>
      <c r="DM27" s="15"/>
      <c r="DN27" s="15"/>
      <c r="DO27" s="15"/>
      <c r="DP27" s="15"/>
      <c r="DQ27" s="15"/>
      <c r="DR27" s="15"/>
      <c r="DS27" s="15"/>
      <c r="DT27" s="15"/>
      <c r="DU27" s="15"/>
      <c r="DV27" s="15"/>
      <c r="DW27" s="15"/>
      <c r="DX27" s="15"/>
      <c r="DY27" s="15"/>
      <c r="DZ27" s="15"/>
      <c r="EA27" s="15"/>
      <c r="EB27" s="15"/>
      <c r="EC27" s="15"/>
      <c r="ED27" s="15"/>
      <c r="EE27" s="15"/>
      <c r="EF27" s="15"/>
      <c r="EG27" s="15"/>
      <c r="EH27" s="15"/>
      <c r="EI27" s="15"/>
      <c r="EJ27" s="15"/>
      <c r="EK27" s="15"/>
      <c r="EL27" s="15"/>
      <c r="EM27" s="15"/>
      <c r="EN27" s="15"/>
      <c r="EO27" s="15"/>
      <c r="EP27" s="15"/>
      <c r="EQ27" s="15"/>
      <c r="ER27" s="15"/>
      <c r="ES27" s="15"/>
      <c r="ET27" s="15"/>
      <c r="EU27" s="15"/>
      <c r="EV27" s="15"/>
      <c r="EW27" s="15"/>
      <c r="EX27" s="15"/>
      <c r="EY27" s="15"/>
      <c r="EZ27" s="15"/>
      <c r="FA27" s="15"/>
      <c r="FB27" s="15"/>
      <c r="FC27" s="15"/>
      <c r="FD27" s="15"/>
      <c r="FE27" s="15"/>
      <c r="FF27" s="15"/>
      <c r="FG27" s="15"/>
      <c r="FH27" s="15"/>
      <c r="FI27" s="15"/>
      <c r="FJ27" s="15"/>
      <c r="FK27" s="15"/>
      <c r="FL27" s="15"/>
      <c r="FM27" s="15"/>
      <c r="FN27" s="15"/>
      <c r="FO27" s="15"/>
      <c r="FP27" s="15"/>
      <c r="FQ27" s="15"/>
      <c r="FR27" s="15"/>
      <c r="FS27" s="15"/>
      <c r="FT27" s="15"/>
      <c r="FU27" s="15"/>
      <c r="FV27" s="15"/>
      <c r="FW27" s="15"/>
      <c r="FX27" s="15"/>
      <c r="FY27" s="15"/>
      <c r="FZ27" s="15"/>
      <c r="GA27" s="15"/>
      <c r="GB27" s="15"/>
      <c r="GC27" s="15"/>
      <c r="GD27" s="15"/>
      <c r="GE27" s="15"/>
      <c r="GF27" s="15"/>
      <c r="GG27" s="15"/>
      <c r="GH27" s="15"/>
      <c r="GI27" s="15"/>
      <c r="GJ27" s="15"/>
      <c r="GK27" s="15"/>
      <c r="GL27" s="15"/>
      <c r="GM27" s="15"/>
      <c r="GN27" s="15"/>
      <c r="GO27" s="15"/>
      <c r="GP27" s="15"/>
      <c r="GQ27" s="15"/>
      <c r="GR27" s="15"/>
      <c r="GS27" s="15"/>
      <c r="GT27" s="15"/>
      <c r="GU27" s="15"/>
      <c r="GV27" s="15"/>
      <c r="GW27" s="15"/>
      <c r="GX27" s="15"/>
      <c r="GY27" s="15"/>
      <c r="GZ27" s="15"/>
      <c r="HA27" s="15"/>
      <c r="HB27" s="15"/>
      <c r="HC27" s="15"/>
      <c r="HD27" s="15"/>
      <c r="HE27" s="15"/>
      <c r="HF27" s="15"/>
      <c r="HG27" s="15"/>
      <c r="HH27" s="15"/>
      <c r="HI27" s="15"/>
      <c r="HJ27" s="15"/>
      <c r="HK27" s="15"/>
      <c r="HL27" s="15"/>
      <c r="HM27" s="15"/>
      <c r="HN27" s="15"/>
      <c r="HO27" s="15"/>
      <c r="HP27" s="15"/>
      <c r="HQ27" s="15"/>
      <c r="HR27" s="15"/>
      <c r="HS27" s="15"/>
      <c r="HT27" s="15"/>
      <c r="HU27" s="15"/>
      <c r="HV27" s="15"/>
      <c r="HW27" s="15"/>
      <c r="HX27" s="15"/>
      <c r="HY27" s="15"/>
      <c r="HZ27" s="15"/>
      <c r="IA27" s="15"/>
      <c r="IB27" s="15"/>
      <c r="IC27" s="15"/>
      <c r="ID27" s="15"/>
      <c r="IE27" s="15"/>
      <c r="IF27" s="15"/>
      <c r="IG27" s="15"/>
      <c r="IH27" s="15"/>
      <c r="II27" s="15"/>
      <c r="IJ27" s="15"/>
      <c r="IK27" s="15"/>
      <c r="IL27" s="15"/>
      <c r="IM27" s="15"/>
      <c r="IN27" s="15"/>
      <c r="IO27" s="15"/>
      <c r="IP27" s="15"/>
      <c r="IQ27" s="15"/>
      <c r="IR27" s="15"/>
      <c r="IS27" s="15"/>
      <c r="IT27" s="15"/>
      <c r="IU27" s="15"/>
      <c r="IV27" s="15"/>
      <c r="IW27" s="15"/>
      <c r="IX27" s="15"/>
      <c r="IY27" s="15"/>
      <c r="IZ27" s="15"/>
      <c r="JA27" s="15"/>
      <c r="JB27" s="15"/>
      <c r="JC27" s="15"/>
      <c r="JD27" s="15"/>
      <c r="JE27" s="15"/>
      <c r="JF27" s="15"/>
      <c r="JG27" s="15"/>
      <c r="JH27" s="15"/>
      <c r="JI27" s="15"/>
      <c r="JJ27" s="15"/>
      <c r="JK27" s="15"/>
      <c r="JL27" s="15"/>
      <c r="JM27" s="15"/>
      <c r="JN27" s="15"/>
      <c r="JO27" s="15"/>
      <c r="JP27" s="15"/>
      <c r="JQ27" s="15"/>
      <c r="JR27" s="15"/>
      <c r="JS27" s="15"/>
      <c r="JT27" s="15"/>
      <c r="JU27" s="15"/>
      <c r="JV27" s="15"/>
      <c r="JW27" s="15"/>
      <c r="JX27" s="15"/>
      <c r="JY27" s="15"/>
      <c r="JZ27" s="15"/>
      <c r="KA27" s="15"/>
      <c r="KB27" s="15"/>
      <c r="KC27" s="15"/>
      <c r="KD27" s="15"/>
      <c r="KE27" s="15"/>
      <c r="KF27" s="15"/>
      <c r="KG27" s="15"/>
      <c r="KH27" s="15"/>
      <c r="KI27" s="15"/>
      <c r="KJ27" s="15"/>
      <c r="KK27" s="15"/>
      <c r="KL27" s="15"/>
      <c r="KM27" s="15"/>
      <c r="KN27" s="15"/>
      <c r="KO27" s="15"/>
      <c r="KP27" s="15"/>
      <c r="KQ27" s="15"/>
      <c r="KR27" s="15"/>
      <c r="KS27" s="15"/>
      <c r="KT27" s="15"/>
      <c r="KU27" s="15"/>
      <c r="KV27" s="15"/>
      <c r="KW27" s="15"/>
      <c r="KX27" s="15"/>
      <c r="KY27" s="15"/>
      <c r="KZ27" s="15"/>
      <c r="LA27" s="15"/>
      <c r="LB27" s="15"/>
      <c r="LC27" s="15"/>
      <c r="LD27" s="15"/>
      <c r="LE27" s="15"/>
      <c r="LF27" s="15"/>
      <c r="LG27" s="15"/>
      <c r="LH27" s="15"/>
      <c r="LI27" s="15"/>
      <c r="LJ27" s="15"/>
      <c r="LK27" s="15"/>
      <c r="LL27" s="15"/>
      <c r="LM27" s="15"/>
      <c r="LN27" s="15"/>
      <c r="LO27" s="15"/>
      <c r="LP27" s="15"/>
      <c r="LQ27" s="15"/>
      <c r="LR27" s="15"/>
      <c r="LS27" s="15"/>
      <c r="LT27" s="15"/>
      <c r="LU27" s="15"/>
      <c r="LV27" s="15"/>
      <c r="LW27" s="15"/>
      <c r="LX27" s="15"/>
      <c r="LY27" s="15"/>
      <c r="LZ27" s="15"/>
      <c r="MA27" s="15"/>
      <c r="MB27" s="15"/>
      <c r="MC27" s="15"/>
      <c r="MD27" s="15"/>
      <c r="ME27" s="15"/>
      <c r="MF27" s="15"/>
      <c r="MG27" s="15"/>
      <c r="MH27" s="15"/>
      <c r="MI27" s="15"/>
      <c r="MJ27" s="15"/>
      <c r="MK27" s="15"/>
      <c r="ML27" s="15"/>
      <c r="MM27" s="15"/>
      <c r="MN27" s="15"/>
      <c r="MO27" s="15"/>
      <c r="MP27" s="15"/>
      <c r="MQ27" s="15"/>
    </row>
    <row r="28" spans="1:355" s="17" customFormat="1" ht="54.95" customHeight="1" x14ac:dyDescent="0.25">
      <c r="A28" s="22">
        <v>21</v>
      </c>
      <c r="B28" s="21" t="s">
        <v>56</v>
      </c>
      <c r="C28" s="21">
        <v>480</v>
      </c>
      <c r="D28" s="21">
        <v>520</v>
      </c>
      <c r="E28" s="21">
        <v>500</v>
      </c>
      <c r="F28" s="21">
        <v>50</v>
      </c>
      <c r="G28" s="18">
        <v>450</v>
      </c>
      <c r="H28" s="18">
        <v>0.55000000000000004</v>
      </c>
      <c r="I28" s="21">
        <v>2</v>
      </c>
      <c r="J28" s="21">
        <v>3</v>
      </c>
      <c r="K28" s="49" t="s">
        <v>79</v>
      </c>
      <c r="L28" s="18">
        <v>507</v>
      </c>
      <c r="M28" s="18">
        <v>0.43</v>
      </c>
      <c r="N28" s="46"/>
      <c r="O28" s="15"/>
      <c r="P28" s="15"/>
      <c r="Q28" s="15"/>
      <c r="R28" s="15"/>
      <c r="S28" s="15"/>
      <c r="T28" s="15"/>
      <c r="U28" s="15"/>
      <c r="V28" s="15"/>
      <c r="W28" s="15"/>
      <c r="X28" s="15"/>
      <c r="Y28" s="15"/>
      <c r="Z28" s="15"/>
      <c r="AA28" s="15"/>
      <c r="AB28" s="15"/>
      <c r="AC28" s="15"/>
      <c r="AD28" s="15"/>
      <c r="AE28" s="15"/>
      <c r="AF28" s="15"/>
      <c r="AG28" s="15"/>
      <c r="AH28" s="15"/>
      <c r="AI28" s="15"/>
      <c r="AJ28" s="15"/>
      <c r="AK28" s="15"/>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c r="BQ28" s="15"/>
      <c r="BR28" s="15"/>
      <c r="BS28" s="15"/>
      <c r="BT28" s="15"/>
      <c r="BU28" s="15"/>
      <c r="BV28" s="15"/>
      <c r="BW28" s="15"/>
      <c r="BX28" s="15"/>
      <c r="BY28" s="15"/>
      <c r="BZ28" s="15"/>
      <c r="CA28" s="15"/>
      <c r="CB28" s="15"/>
      <c r="CC28" s="15"/>
      <c r="CD28" s="15"/>
      <c r="CE28" s="15"/>
      <c r="CF28" s="15"/>
      <c r="CG28" s="15"/>
      <c r="CH28" s="15"/>
      <c r="CI28" s="15"/>
      <c r="CJ28" s="15"/>
      <c r="CK28" s="15"/>
      <c r="CL28" s="15"/>
      <c r="CM28" s="15"/>
      <c r="CN28" s="15"/>
      <c r="CO28" s="15"/>
      <c r="CP28" s="15"/>
      <c r="CQ28" s="15"/>
      <c r="CR28" s="15"/>
      <c r="CS28" s="15"/>
      <c r="CT28" s="15"/>
      <c r="CU28" s="15"/>
      <c r="CV28" s="15"/>
      <c r="CW28" s="15"/>
      <c r="CX28" s="15"/>
      <c r="CY28" s="15"/>
      <c r="CZ28" s="15"/>
      <c r="DA28" s="15"/>
      <c r="DB28" s="15"/>
      <c r="DC28" s="15"/>
      <c r="DD28" s="15"/>
      <c r="DE28" s="15"/>
      <c r="DF28" s="15"/>
      <c r="DG28" s="15"/>
      <c r="DH28" s="15"/>
      <c r="DI28" s="15"/>
      <c r="DJ28" s="15"/>
      <c r="DK28" s="15"/>
      <c r="DL28" s="15"/>
      <c r="DM28" s="15"/>
      <c r="DN28" s="15"/>
      <c r="DO28" s="15"/>
      <c r="DP28" s="15"/>
      <c r="DQ28" s="15"/>
      <c r="DR28" s="15"/>
      <c r="DS28" s="15"/>
      <c r="DT28" s="15"/>
      <c r="DU28" s="15"/>
      <c r="DV28" s="15"/>
      <c r="DW28" s="15"/>
      <c r="DX28" s="15"/>
      <c r="DY28" s="15"/>
      <c r="DZ28" s="15"/>
      <c r="EA28" s="15"/>
      <c r="EB28" s="15"/>
      <c r="EC28" s="15"/>
      <c r="ED28" s="15"/>
      <c r="EE28" s="15"/>
      <c r="EF28" s="15"/>
      <c r="EG28" s="15"/>
      <c r="EH28" s="15"/>
      <c r="EI28" s="15"/>
      <c r="EJ28" s="15"/>
      <c r="EK28" s="15"/>
      <c r="EL28" s="15"/>
      <c r="EM28" s="15"/>
      <c r="EN28" s="15"/>
      <c r="EO28" s="15"/>
      <c r="EP28" s="15"/>
      <c r="EQ28" s="15"/>
      <c r="ER28" s="15"/>
      <c r="ES28" s="15"/>
      <c r="ET28" s="15"/>
      <c r="EU28" s="15"/>
      <c r="EV28" s="15"/>
      <c r="EW28" s="15"/>
      <c r="EX28" s="15"/>
      <c r="EY28" s="15"/>
      <c r="EZ28" s="15"/>
      <c r="FA28" s="15"/>
      <c r="FB28" s="15"/>
      <c r="FC28" s="15"/>
      <c r="FD28" s="15"/>
      <c r="FE28" s="15"/>
      <c r="FF28" s="15"/>
      <c r="FG28" s="15"/>
      <c r="FH28" s="15"/>
      <c r="FI28" s="15"/>
      <c r="FJ28" s="15"/>
      <c r="FK28" s="15"/>
      <c r="FL28" s="15"/>
      <c r="FM28" s="15"/>
      <c r="FN28" s="15"/>
      <c r="FO28" s="15"/>
      <c r="FP28" s="15"/>
      <c r="FQ28" s="15"/>
      <c r="FR28" s="15"/>
      <c r="FS28" s="15"/>
      <c r="FT28" s="15"/>
      <c r="FU28" s="15"/>
      <c r="FV28" s="15"/>
      <c r="FW28" s="15"/>
      <c r="FX28" s="15"/>
      <c r="FY28" s="15"/>
      <c r="FZ28" s="15"/>
      <c r="GA28" s="15"/>
      <c r="GB28" s="15"/>
      <c r="GC28" s="15"/>
      <c r="GD28" s="15"/>
      <c r="GE28" s="15"/>
      <c r="GF28" s="15"/>
      <c r="GG28" s="15"/>
      <c r="GH28" s="15"/>
      <c r="GI28" s="15"/>
      <c r="GJ28" s="15"/>
      <c r="GK28" s="15"/>
      <c r="GL28" s="15"/>
      <c r="GM28" s="15"/>
      <c r="GN28" s="15"/>
      <c r="GO28" s="15"/>
      <c r="GP28" s="15"/>
      <c r="GQ28" s="15"/>
      <c r="GR28" s="15"/>
      <c r="GS28" s="15"/>
      <c r="GT28" s="15"/>
      <c r="GU28" s="15"/>
      <c r="GV28" s="15"/>
      <c r="GW28" s="15"/>
      <c r="GX28" s="15"/>
      <c r="GY28" s="15"/>
      <c r="GZ28" s="15"/>
      <c r="HA28" s="15"/>
      <c r="HB28" s="15"/>
      <c r="HC28" s="15"/>
      <c r="HD28" s="15"/>
      <c r="HE28" s="15"/>
      <c r="HF28" s="15"/>
      <c r="HG28" s="15"/>
      <c r="HH28" s="15"/>
      <c r="HI28" s="15"/>
      <c r="HJ28" s="15"/>
      <c r="HK28" s="15"/>
      <c r="HL28" s="15"/>
      <c r="HM28" s="15"/>
      <c r="HN28" s="15"/>
      <c r="HO28" s="15"/>
      <c r="HP28" s="15"/>
      <c r="HQ28" s="15"/>
      <c r="HR28" s="15"/>
      <c r="HS28" s="15"/>
      <c r="HT28" s="15"/>
      <c r="HU28" s="15"/>
      <c r="HV28" s="15"/>
      <c r="HW28" s="15"/>
      <c r="HX28" s="15"/>
      <c r="HY28" s="15"/>
      <c r="HZ28" s="15"/>
      <c r="IA28" s="15"/>
      <c r="IB28" s="15"/>
      <c r="IC28" s="15"/>
      <c r="ID28" s="15"/>
      <c r="IE28" s="15"/>
      <c r="IF28" s="15"/>
      <c r="IG28" s="15"/>
      <c r="IH28" s="15"/>
      <c r="II28" s="15"/>
      <c r="IJ28" s="15"/>
      <c r="IK28" s="15"/>
      <c r="IL28" s="15"/>
      <c r="IM28" s="15"/>
      <c r="IN28" s="15"/>
      <c r="IO28" s="15"/>
      <c r="IP28" s="15"/>
      <c r="IQ28" s="15"/>
      <c r="IR28" s="15"/>
      <c r="IS28" s="15"/>
      <c r="IT28" s="15"/>
      <c r="IU28" s="15"/>
      <c r="IV28" s="15"/>
      <c r="IW28" s="15"/>
      <c r="IX28" s="15"/>
      <c r="IY28" s="15"/>
      <c r="IZ28" s="15"/>
      <c r="JA28" s="15"/>
      <c r="JB28" s="15"/>
      <c r="JC28" s="15"/>
      <c r="JD28" s="15"/>
      <c r="JE28" s="15"/>
      <c r="JF28" s="15"/>
      <c r="JG28" s="15"/>
      <c r="JH28" s="15"/>
      <c r="JI28" s="15"/>
      <c r="JJ28" s="15"/>
      <c r="JK28" s="15"/>
      <c r="JL28" s="15"/>
      <c r="JM28" s="15"/>
      <c r="JN28" s="15"/>
      <c r="JO28" s="15"/>
      <c r="JP28" s="15"/>
      <c r="JQ28" s="15"/>
      <c r="JR28" s="15"/>
      <c r="JS28" s="15"/>
      <c r="JT28" s="15"/>
      <c r="JU28" s="15"/>
      <c r="JV28" s="15"/>
      <c r="JW28" s="15"/>
      <c r="JX28" s="15"/>
      <c r="JY28" s="15"/>
      <c r="JZ28" s="15"/>
      <c r="KA28" s="15"/>
      <c r="KB28" s="15"/>
      <c r="KC28" s="15"/>
      <c r="KD28" s="15"/>
      <c r="KE28" s="15"/>
      <c r="KF28" s="15"/>
      <c r="KG28" s="15"/>
      <c r="KH28" s="15"/>
      <c r="KI28" s="15"/>
      <c r="KJ28" s="15"/>
      <c r="KK28" s="15"/>
      <c r="KL28" s="15"/>
      <c r="KM28" s="15"/>
      <c r="KN28" s="15"/>
      <c r="KO28" s="15"/>
      <c r="KP28" s="15"/>
      <c r="KQ28" s="15"/>
      <c r="KR28" s="15"/>
      <c r="KS28" s="15"/>
      <c r="KT28" s="15"/>
      <c r="KU28" s="15"/>
      <c r="KV28" s="15"/>
      <c r="KW28" s="15"/>
      <c r="KX28" s="15"/>
      <c r="KY28" s="15"/>
      <c r="KZ28" s="15"/>
      <c r="LA28" s="15"/>
      <c r="LB28" s="15"/>
      <c r="LC28" s="15"/>
      <c r="LD28" s="15"/>
      <c r="LE28" s="15"/>
      <c r="LF28" s="15"/>
      <c r="LG28" s="15"/>
      <c r="LH28" s="15"/>
      <c r="LI28" s="15"/>
      <c r="LJ28" s="15"/>
      <c r="LK28" s="15"/>
      <c r="LL28" s="15"/>
      <c r="LM28" s="15"/>
      <c r="LN28" s="15"/>
      <c r="LO28" s="15"/>
      <c r="LP28" s="15"/>
      <c r="LQ28" s="15"/>
      <c r="LR28" s="15"/>
      <c r="LS28" s="15"/>
      <c r="LT28" s="15"/>
      <c r="LU28" s="15"/>
      <c r="LV28" s="15"/>
      <c r="LW28" s="15"/>
      <c r="LX28" s="15"/>
      <c r="LY28" s="15"/>
      <c r="LZ28" s="15"/>
      <c r="MA28" s="15"/>
      <c r="MB28" s="15"/>
      <c r="MC28" s="15"/>
      <c r="MD28" s="15"/>
      <c r="ME28" s="15"/>
      <c r="MF28" s="15"/>
      <c r="MG28" s="15"/>
      <c r="MH28" s="15"/>
      <c r="MI28" s="15"/>
      <c r="MJ28" s="15"/>
      <c r="MK28" s="15"/>
      <c r="ML28" s="15"/>
      <c r="MM28" s="15"/>
      <c r="MN28" s="15"/>
      <c r="MO28" s="15"/>
      <c r="MP28" s="15"/>
      <c r="MQ28" s="15"/>
    </row>
    <row r="29" spans="1:355" s="15" customFormat="1" ht="39.950000000000003" customHeight="1" x14ac:dyDescent="0.25">
      <c r="A29" s="22">
        <v>22</v>
      </c>
      <c r="B29" s="27" t="s">
        <v>54</v>
      </c>
      <c r="C29" s="21">
        <v>260</v>
      </c>
      <c r="D29" s="21">
        <v>360</v>
      </c>
      <c r="E29" s="21">
        <v>250</v>
      </c>
      <c r="F29" s="21">
        <v>45</v>
      </c>
      <c r="G29" s="18">
        <v>450</v>
      </c>
      <c r="H29" s="18">
        <v>0.5</v>
      </c>
      <c r="I29" s="21">
        <v>2</v>
      </c>
      <c r="J29" s="21">
        <v>2</v>
      </c>
      <c r="K29" s="49" t="s">
        <v>7</v>
      </c>
      <c r="L29" s="18">
        <v>468</v>
      </c>
      <c r="M29" s="18">
        <v>0.54</v>
      </c>
      <c r="N29" s="46"/>
    </row>
    <row r="30" spans="1:355" s="15" customFormat="1" ht="39.950000000000003" customHeight="1" x14ac:dyDescent="0.25">
      <c r="A30" s="22">
        <v>23</v>
      </c>
      <c r="B30" s="27" t="s">
        <v>54</v>
      </c>
      <c r="C30" s="22">
        <v>640</v>
      </c>
      <c r="D30" s="22">
        <v>720</v>
      </c>
      <c r="E30" s="22">
        <v>350</v>
      </c>
      <c r="F30" s="22">
        <v>60</v>
      </c>
      <c r="G30" s="20">
        <v>800</v>
      </c>
      <c r="H30" s="20">
        <v>0.6</v>
      </c>
      <c r="I30" s="22">
        <v>3</v>
      </c>
      <c r="J30" s="22">
        <v>4</v>
      </c>
      <c r="K30" s="49" t="s">
        <v>43</v>
      </c>
      <c r="L30" s="20">
        <v>818</v>
      </c>
      <c r="M30" s="20">
        <v>0.5</v>
      </c>
      <c r="N30" s="47"/>
    </row>
    <row r="31" spans="1:355" s="15" customFormat="1" ht="39.950000000000003" customHeight="1" x14ac:dyDescent="0.25">
      <c r="A31" s="22">
        <v>24</v>
      </c>
      <c r="B31" s="21" t="s">
        <v>5</v>
      </c>
      <c r="C31" s="23">
        <v>420</v>
      </c>
      <c r="D31" s="23">
        <v>380</v>
      </c>
      <c r="E31" s="23">
        <v>290</v>
      </c>
      <c r="F31" s="23">
        <v>45</v>
      </c>
      <c r="G31" s="19">
        <v>400</v>
      </c>
      <c r="H31" s="19">
        <v>0.45</v>
      </c>
      <c r="I31" s="23">
        <v>3</v>
      </c>
      <c r="J31" s="23">
        <v>3</v>
      </c>
      <c r="K31" s="50" t="s">
        <v>42</v>
      </c>
      <c r="L31" s="19">
        <v>330</v>
      </c>
      <c r="M31" s="19">
        <v>0.39</v>
      </c>
      <c r="N31" s="47"/>
    </row>
    <row r="32" spans="1:355" s="16" customFormat="1" ht="39.950000000000003" customHeight="1" x14ac:dyDescent="0.25">
      <c r="A32" s="22">
        <v>25</v>
      </c>
      <c r="B32" s="21" t="s">
        <v>55</v>
      </c>
      <c r="C32" s="23">
        <v>720</v>
      </c>
      <c r="D32" s="23">
        <v>680</v>
      </c>
      <c r="E32" s="23">
        <v>330</v>
      </c>
      <c r="F32" s="23">
        <v>55</v>
      </c>
      <c r="G32" s="19">
        <v>500</v>
      </c>
      <c r="H32" s="19">
        <v>0.6</v>
      </c>
      <c r="I32" s="23">
        <v>3</v>
      </c>
      <c r="J32" s="23">
        <v>4</v>
      </c>
      <c r="K32" s="50" t="s">
        <v>41</v>
      </c>
      <c r="L32" s="19">
        <v>631</v>
      </c>
      <c r="M32" s="19">
        <v>0.49</v>
      </c>
      <c r="N32" s="47"/>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c r="BV32" s="15"/>
      <c r="BW32" s="15"/>
      <c r="BX32" s="15"/>
      <c r="BY32" s="15"/>
      <c r="BZ32" s="15"/>
      <c r="CA32" s="15"/>
      <c r="CB32" s="15"/>
      <c r="CC32" s="15"/>
      <c r="CD32" s="15"/>
      <c r="CE32" s="15"/>
      <c r="CF32" s="15"/>
      <c r="CG32" s="15"/>
      <c r="CH32" s="15"/>
      <c r="CI32" s="15"/>
      <c r="CJ32" s="15"/>
      <c r="CK32" s="15"/>
      <c r="CL32" s="15"/>
      <c r="CM32" s="15"/>
      <c r="CN32" s="15"/>
      <c r="CO32" s="15"/>
      <c r="CP32" s="15"/>
      <c r="CQ32" s="15"/>
      <c r="CR32" s="15"/>
      <c r="CS32" s="15"/>
      <c r="CT32" s="15"/>
      <c r="CU32" s="15"/>
      <c r="CV32" s="15"/>
      <c r="CW32" s="15"/>
      <c r="CX32" s="15"/>
      <c r="CY32" s="15"/>
      <c r="CZ32" s="15"/>
      <c r="DA32" s="15"/>
      <c r="DB32" s="15"/>
      <c r="DC32" s="15"/>
      <c r="DD32" s="15"/>
      <c r="DE32" s="15"/>
      <c r="DF32" s="15"/>
      <c r="DG32" s="15"/>
      <c r="DH32" s="15"/>
      <c r="DI32" s="15"/>
      <c r="DJ32" s="15"/>
      <c r="DK32" s="15"/>
      <c r="DL32" s="15"/>
      <c r="DM32" s="15"/>
      <c r="DN32" s="15"/>
      <c r="DO32" s="15"/>
      <c r="DP32" s="15"/>
      <c r="DQ32" s="15"/>
      <c r="DR32" s="15"/>
      <c r="DS32" s="15"/>
      <c r="DT32" s="15"/>
      <c r="DU32" s="15"/>
      <c r="DV32" s="15"/>
      <c r="DW32" s="15"/>
      <c r="DX32" s="15"/>
      <c r="DY32" s="15"/>
      <c r="DZ32" s="15"/>
      <c r="EA32" s="15"/>
      <c r="EB32" s="15"/>
      <c r="EC32" s="15"/>
      <c r="ED32" s="15"/>
      <c r="EE32" s="15"/>
      <c r="EF32" s="15"/>
      <c r="EG32" s="15"/>
      <c r="EH32" s="15"/>
      <c r="EI32" s="15"/>
      <c r="EJ32" s="15"/>
      <c r="EK32" s="15"/>
      <c r="EL32" s="15"/>
      <c r="EM32" s="15"/>
      <c r="EN32" s="15"/>
      <c r="EO32" s="15"/>
      <c r="EP32" s="15"/>
      <c r="EQ32" s="15"/>
      <c r="ER32" s="15"/>
      <c r="ES32" s="15"/>
      <c r="ET32" s="15"/>
      <c r="EU32" s="15"/>
      <c r="EV32" s="15"/>
      <c r="EW32" s="15"/>
      <c r="EX32" s="15"/>
      <c r="EY32" s="15"/>
      <c r="EZ32" s="15"/>
      <c r="FA32" s="15"/>
      <c r="FB32" s="15"/>
      <c r="FC32" s="15"/>
      <c r="FD32" s="15"/>
      <c r="FE32" s="15"/>
      <c r="FF32" s="15"/>
      <c r="FG32" s="15"/>
      <c r="FH32" s="15"/>
      <c r="FI32" s="15"/>
      <c r="FJ32" s="15"/>
      <c r="FK32" s="15"/>
      <c r="FL32" s="15"/>
      <c r="FM32" s="15"/>
      <c r="FN32" s="15"/>
      <c r="FO32" s="15"/>
      <c r="FP32" s="15"/>
      <c r="FQ32" s="15"/>
      <c r="FR32" s="15"/>
      <c r="FS32" s="15"/>
      <c r="FT32" s="15"/>
      <c r="FU32" s="15"/>
      <c r="FV32" s="15"/>
      <c r="FW32" s="15"/>
      <c r="FX32" s="15"/>
      <c r="FY32" s="15"/>
      <c r="FZ32" s="15"/>
      <c r="GA32" s="15"/>
      <c r="GB32" s="15"/>
      <c r="GC32" s="15"/>
      <c r="GD32" s="15"/>
      <c r="GE32" s="15"/>
      <c r="GF32" s="15"/>
      <c r="GG32" s="15"/>
      <c r="GH32" s="15"/>
      <c r="GI32" s="15"/>
      <c r="GJ32" s="15"/>
      <c r="GK32" s="15"/>
      <c r="GL32" s="15"/>
      <c r="GM32" s="15"/>
      <c r="GN32" s="15"/>
      <c r="GO32" s="15"/>
      <c r="GP32" s="15"/>
      <c r="GQ32" s="15"/>
      <c r="GR32" s="15"/>
      <c r="GS32" s="15"/>
      <c r="GT32" s="15"/>
      <c r="GU32" s="15"/>
      <c r="GV32" s="15"/>
      <c r="GW32" s="15"/>
      <c r="GX32" s="15"/>
      <c r="GY32" s="15"/>
      <c r="GZ32" s="15"/>
      <c r="HA32" s="15"/>
      <c r="HB32" s="15"/>
      <c r="HC32" s="15"/>
      <c r="HD32" s="15"/>
      <c r="HE32" s="15"/>
      <c r="HF32" s="15"/>
      <c r="HG32" s="15"/>
      <c r="HH32" s="15"/>
      <c r="HI32" s="15"/>
      <c r="HJ32" s="15"/>
      <c r="HK32" s="15"/>
      <c r="HL32" s="15"/>
      <c r="HM32" s="15"/>
      <c r="HN32" s="15"/>
      <c r="HO32" s="15"/>
      <c r="HP32" s="15"/>
      <c r="HQ32" s="15"/>
      <c r="HR32" s="15"/>
      <c r="HS32" s="15"/>
      <c r="HT32" s="15"/>
      <c r="HU32" s="15"/>
      <c r="HV32" s="15"/>
      <c r="HW32" s="15"/>
      <c r="HX32" s="15"/>
      <c r="HY32" s="15"/>
      <c r="HZ32" s="15"/>
      <c r="IA32" s="15"/>
      <c r="IB32" s="15"/>
      <c r="IC32" s="15"/>
      <c r="ID32" s="15"/>
      <c r="IE32" s="15"/>
      <c r="IF32" s="15"/>
      <c r="IG32" s="15"/>
      <c r="IH32" s="15"/>
      <c r="II32" s="15"/>
      <c r="IJ32" s="15"/>
      <c r="IK32" s="15"/>
      <c r="IL32" s="15"/>
      <c r="IM32" s="15"/>
      <c r="IN32" s="15"/>
      <c r="IO32" s="15"/>
      <c r="IP32" s="15"/>
      <c r="IQ32" s="15"/>
      <c r="IR32" s="15"/>
      <c r="IS32" s="15"/>
      <c r="IT32" s="15"/>
      <c r="IU32" s="15"/>
      <c r="IV32" s="15"/>
      <c r="IW32" s="15"/>
      <c r="IX32" s="15"/>
      <c r="IY32" s="15"/>
      <c r="IZ32" s="15"/>
      <c r="JA32" s="15"/>
      <c r="JB32" s="15"/>
      <c r="JC32" s="15"/>
      <c r="JD32" s="15"/>
      <c r="JE32" s="15"/>
      <c r="JF32" s="15"/>
      <c r="JG32" s="15"/>
      <c r="JH32" s="15"/>
      <c r="JI32" s="15"/>
      <c r="JJ32" s="15"/>
      <c r="JK32" s="15"/>
      <c r="JL32" s="15"/>
      <c r="JM32" s="15"/>
      <c r="JN32" s="15"/>
      <c r="JO32" s="15"/>
      <c r="JP32" s="15"/>
      <c r="JQ32" s="15"/>
      <c r="JR32" s="15"/>
      <c r="JS32" s="15"/>
      <c r="JT32" s="15"/>
      <c r="JU32" s="15"/>
      <c r="JV32" s="15"/>
      <c r="JW32" s="15"/>
      <c r="JX32" s="15"/>
      <c r="JY32" s="15"/>
      <c r="JZ32" s="15"/>
      <c r="KA32" s="15"/>
      <c r="KB32" s="15"/>
      <c r="KC32" s="15"/>
      <c r="KD32" s="15"/>
      <c r="KE32" s="15"/>
      <c r="KF32" s="15"/>
      <c r="KG32" s="15"/>
      <c r="KH32" s="15"/>
      <c r="KI32" s="15"/>
      <c r="KJ32" s="15"/>
      <c r="KK32" s="15"/>
      <c r="KL32" s="15"/>
      <c r="KM32" s="15"/>
      <c r="KN32" s="15"/>
      <c r="KO32" s="15"/>
      <c r="KP32" s="15"/>
      <c r="KQ32" s="15"/>
      <c r="KR32" s="15"/>
      <c r="KS32" s="15"/>
      <c r="KT32" s="15"/>
      <c r="KU32" s="15"/>
      <c r="KV32" s="15"/>
      <c r="KW32" s="15"/>
      <c r="KX32" s="15"/>
      <c r="KY32" s="15"/>
      <c r="KZ32" s="15"/>
      <c r="LA32" s="15"/>
      <c r="LB32" s="15"/>
      <c r="LC32" s="15"/>
      <c r="LD32" s="15"/>
      <c r="LE32" s="15"/>
      <c r="LF32" s="15"/>
      <c r="LG32" s="15"/>
      <c r="LH32" s="15"/>
      <c r="LI32" s="15"/>
      <c r="LJ32" s="15"/>
      <c r="LK32" s="15"/>
      <c r="LL32" s="15"/>
      <c r="LM32" s="15"/>
      <c r="LN32" s="15"/>
      <c r="LO32" s="15"/>
      <c r="LP32" s="15"/>
      <c r="LQ32" s="15"/>
      <c r="LR32" s="15"/>
      <c r="LS32" s="15"/>
      <c r="LT32" s="15"/>
      <c r="LU32" s="15"/>
      <c r="LV32" s="15"/>
      <c r="LW32" s="15"/>
      <c r="LX32" s="15"/>
      <c r="LY32" s="15"/>
      <c r="LZ32" s="15"/>
      <c r="MA32" s="15"/>
      <c r="MB32" s="15"/>
      <c r="MC32" s="15"/>
      <c r="MD32" s="15"/>
      <c r="ME32" s="15"/>
      <c r="MF32" s="15"/>
      <c r="MG32" s="15"/>
      <c r="MH32" s="15"/>
      <c r="MI32" s="15"/>
      <c r="MJ32" s="15"/>
      <c r="MK32" s="15"/>
      <c r="ML32" s="15"/>
      <c r="MM32" s="15"/>
      <c r="MN32" s="15"/>
      <c r="MO32" s="15"/>
      <c r="MP32" s="15"/>
      <c r="MQ32" s="15"/>
    </row>
    <row r="33" spans="1:355" s="17" customFormat="1" ht="39.950000000000003" customHeight="1" x14ac:dyDescent="0.25">
      <c r="A33" s="22">
        <v>26</v>
      </c>
      <c r="B33" s="21" t="s">
        <v>56</v>
      </c>
      <c r="C33" s="23">
        <v>880</v>
      </c>
      <c r="D33" s="23">
        <v>540</v>
      </c>
      <c r="E33" s="23">
        <v>390</v>
      </c>
      <c r="F33" s="23">
        <v>65</v>
      </c>
      <c r="G33" s="19">
        <v>800</v>
      </c>
      <c r="H33" s="19">
        <v>0.55000000000000004</v>
      </c>
      <c r="I33" s="23">
        <v>4</v>
      </c>
      <c r="J33" s="23">
        <v>3</v>
      </c>
      <c r="K33" s="50" t="s">
        <v>40</v>
      </c>
      <c r="L33" s="19">
        <v>829</v>
      </c>
      <c r="M33" s="19">
        <v>0.51</v>
      </c>
      <c r="N33" s="47"/>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c r="IX33" s="15"/>
      <c r="IY33" s="15"/>
      <c r="IZ33" s="15"/>
      <c r="JA33" s="15"/>
      <c r="JB33" s="15"/>
      <c r="JC33" s="15"/>
      <c r="JD33" s="15"/>
      <c r="JE33" s="15"/>
      <c r="JF33" s="15"/>
      <c r="JG33" s="15"/>
      <c r="JH33" s="15"/>
      <c r="JI33" s="15"/>
      <c r="JJ33" s="15"/>
      <c r="JK33" s="15"/>
      <c r="JL33" s="15"/>
      <c r="JM33" s="15"/>
      <c r="JN33" s="15"/>
      <c r="JO33" s="15"/>
      <c r="JP33" s="15"/>
      <c r="JQ33" s="15"/>
      <c r="JR33" s="15"/>
      <c r="JS33" s="15"/>
      <c r="JT33" s="15"/>
      <c r="JU33" s="15"/>
      <c r="JV33" s="15"/>
      <c r="JW33" s="15"/>
      <c r="JX33" s="15"/>
      <c r="JY33" s="15"/>
      <c r="JZ33" s="15"/>
      <c r="KA33" s="15"/>
      <c r="KB33" s="15"/>
      <c r="KC33" s="15"/>
      <c r="KD33" s="15"/>
      <c r="KE33" s="15"/>
      <c r="KF33" s="15"/>
      <c r="KG33" s="15"/>
      <c r="KH33" s="15"/>
      <c r="KI33" s="15"/>
      <c r="KJ33" s="15"/>
      <c r="KK33" s="15"/>
      <c r="KL33" s="15"/>
      <c r="KM33" s="15"/>
      <c r="KN33" s="15"/>
      <c r="KO33" s="15"/>
      <c r="KP33" s="15"/>
      <c r="KQ33" s="15"/>
      <c r="KR33" s="15"/>
      <c r="KS33" s="15"/>
      <c r="KT33" s="15"/>
      <c r="KU33" s="15"/>
      <c r="KV33" s="15"/>
      <c r="KW33" s="15"/>
      <c r="KX33" s="15"/>
      <c r="KY33" s="15"/>
      <c r="KZ33" s="15"/>
      <c r="LA33" s="15"/>
      <c r="LB33" s="15"/>
      <c r="LC33" s="15"/>
      <c r="LD33" s="15"/>
      <c r="LE33" s="15"/>
      <c r="LF33" s="15"/>
      <c r="LG33" s="15"/>
      <c r="LH33" s="15"/>
      <c r="LI33" s="15"/>
      <c r="LJ33" s="15"/>
      <c r="LK33" s="15"/>
      <c r="LL33" s="15"/>
      <c r="LM33" s="15"/>
      <c r="LN33" s="15"/>
      <c r="LO33" s="15"/>
      <c r="LP33" s="15"/>
      <c r="LQ33" s="15"/>
      <c r="LR33" s="15"/>
      <c r="LS33" s="15"/>
      <c r="LT33" s="15"/>
      <c r="LU33" s="15"/>
      <c r="LV33" s="15"/>
      <c r="LW33" s="15"/>
      <c r="LX33" s="15"/>
      <c r="LY33" s="15"/>
      <c r="LZ33" s="15"/>
      <c r="MA33" s="15"/>
      <c r="MB33" s="15"/>
      <c r="MC33" s="15"/>
      <c r="MD33" s="15"/>
      <c r="ME33" s="15"/>
      <c r="MF33" s="15"/>
      <c r="MG33" s="15"/>
      <c r="MH33" s="15"/>
      <c r="MI33" s="15"/>
      <c r="MJ33" s="15"/>
      <c r="MK33" s="15"/>
      <c r="ML33" s="15"/>
      <c r="MM33" s="15"/>
      <c r="MN33" s="15"/>
      <c r="MO33" s="15"/>
      <c r="MP33" s="15"/>
      <c r="MQ33" s="15"/>
    </row>
    <row r="34" spans="1:355" s="17" customFormat="1" ht="39.950000000000003" customHeight="1" x14ac:dyDescent="0.25">
      <c r="A34" s="22">
        <v>27</v>
      </c>
      <c r="B34" s="21" t="s">
        <v>56</v>
      </c>
      <c r="C34" s="23">
        <v>600</v>
      </c>
      <c r="D34" s="23">
        <v>1000</v>
      </c>
      <c r="E34" s="23">
        <v>420</v>
      </c>
      <c r="F34" s="23">
        <v>70</v>
      </c>
      <c r="G34" s="19">
        <v>550</v>
      </c>
      <c r="H34" s="19">
        <v>0.6</v>
      </c>
      <c r="I34" s="23">
        <v>3</v>
      </c>
      <c r="J34" s="23">
        <v>5</v>
      </c>
      <c r="K34" s="50" t="s">
        <v>39</v>
      </c>
      <c r="L34" s="19">
        <v>543</v>
      </c>
      <c r="M34" s="19">
        <v>0.61</v>
      </c>
      <c r="N34" s="47"/>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c r="BQ34" s="15"/>
      <c r="BR34" s="15"/>
      <c r="BS34" s="15"/>
      <c r="BT34" s="15"/>
      <c r="BU34" s="15"/>
      <c r="BV34" s="15"/>
      <c r="BW34" s="15"/>
      <c r="BX34" s="15"/>
      <c r="BY34" s="15"/>
      <c r="BZ34" s="15"/>
      <c r="CA34" s="15"/>
      <c r="CB34" s="15"/>
      <c r="CC34" s="15"/>
      <c r="CD34" s="15"/>
      <c r="CE34" s="15"/>
      <c r="CF34" s="15"/>
      <c r="CG34" s="15"/>
      <c r="CH34" s="15"/>
      <c r="CI34" s="15"/>
      <c r="CJ34" s="15"/>
      <c r="CK34" s="15"/>
      <c r="CL34" s="15"/>
      <c r="CM34" s="15"/>
      <c r="CN34" s="15"/>
      <c r="CO34" s="15"/>
      <c r="CP34" s="15"/>
      <c r="CQ34" s="15"/>
      <c r="CR34" s="15"/>
      <c r="CS34" s="15"/>
      <c r="CT34" s="15"/>
      <c r="CU34" s="15"/>
      <c r="CV34" s="15"/>
      <c r="CW34" s="15"/>
      <c r="CX34" s="15"/>
      <c r="CY34" s="15"/>
      <c r="CZ34" s="15"/>
      <c r="DA34" s="15"/>
      <c r="DB34" s="15"/>
      <c r="DC34" s="15"/>
      <c r="DD34" s="15"/>
      <c r="DE34" s="15"/>
      <c r="DF34" s="15"/>
      <c r="DG34" s="15"/>
      <c r="DH34" s="15"/>
      <c r="DI34" s="15"/>
      <c r="DJ34" s="15"/>
      <c r="DK34" s="15"/>
      <c r="DL34" s="15"/>
      <c r="DM34" s="15"/>
      <c r="DN34" s="15"/>
      <c r="DO34" s="15"/>
      <c r="DP34" s="15"/>
      <c r="DQ34" s="15"/>
      <c r="DR34" s="15"/>
      <c r="DS34" s="15"/>
      <c r="DT34" s="15"/>
      <c r="DU34" s="15"/>
      <c r="DV34" s="15"/>
      <c r="DW34" s="15"/>
      <c r="DX34" s="15"/>
      <c r="DY34" s="15"/>
      <c r="DZ34" s="15"/>
      <c r="EA34" s="15"/>
      <c r="EB34" s="15"/>
      <c r="EC34" s="15"/>
      <c r="ED34" s="15"/>
      <c r="EE34" s="15"/>
      <c r="EF34" s="15"/>
      <c r="EG34" s="15"/>
      <c r="EH34" s="15"/>
      <c r="EI34" s="15"/>
      <c r="EJ34" s="15"/>
      <c r="EK34" s="15"/>
      <c r="EL34" s="15"/>
      <c r="EM34" s="15"/>
      <c r="EN34" s="15"/>
      <c r="EO34" s="15"/>
      <c r="EP34" s="15"/>
      <c r="EQ34" s="15"/>
      <c r="ER34" s="15"/>
      <c r="ES34" s="15"/>
      <c r="ET34" s="15"/>
      <c r="EU34" s="15"/>
      <c r="EV34" s="15"/>
      <c r="EW34" s="15"/>
      <c r="EX34" s="15"/>
      <c r="EY34" s="15"/>
      <c r="EZ34" s="15"/>
      <c r="FA34" s="15"/>
      <c r="FB34" s="15"/>
      <c r="FC34" s="15"/>
      <c r="FD34" s="15"/>
      <c r="FE34" s="15"/>
      <c r="FF34" s="15"/>
      <c r="FG34" s="15"/>
      <c r="FH34" s="15"/>
      <c r="FI34" s="15"/>
      <c r="FJ34" s="15"/>
      <c r="FK34" s="15"/>
      <c r="FL34" s="15"/>
      <c r="FM34" s="15"/>
      <c r="FN34" s="15"/>
      <c r="FO34" s="15"/>
      <c r="FP34" s="15"/>
      <c r="FQ34" s="15"/>
      <c r="FR34" s="15"/>
      <c r="FS34" s="15"/>
      <c r="FT34" s="15"/>
      <c r="FU34" s="15"/>
      <c r="FV34" s="15"/>
      <c r="FW34" s="15"/>
      <c r="FX34" s="15"/>
      <c r="FY34" s="15"/>
      <c r="FZ34" s="15"/>
      <c r="GA34" s="15"/>
      <c r="GB34" s="15"/>
      <c r="GC34" s="15"/>
      <c r="GD34" s="15"/>
      <c r="GE34" s="15"/>
      <c r="GF34" s="15"/>
      <c r="GG34" s="15"/>
      <c r="GH34" s="15"/>
      <c r="GI34" s="15"/>
      <c r="GJ34" s="15"/>
      <c r="GK34" s="15"/>
      <c r="GL34" s="15"/>
      <c r="GM34" s="15"/>
      <c r="GN34" s="15"/>
      <c r="GO34" s="15"/>
      <c r="GP34" s="15"/>
      <c r="GQ34" s="15"/>
      <c r="GR34" s="15"/>
      <c r="GS34" s="15"/>
      <c r="GT34" s="15"/>
      <c r="GU34" s="15"/>
      <c r="GV34" s="15"/>
      <c r="GW34" s="15"/>
      <c r="GX34" s="15"/>
      <c r="GY34" s="15"/>
      <c r="GZ34" s="15"/>
      <c r="HA34" s="15"/>
      <c r="HB34" s="15"/>
      <c r="HC34" s="15"/>
      <c r="HD34" s="15"/>
      <c r="HE34" s="15"/>
      <c r="HF34" s="15"/>
      <c r="HG34" s="15"/>
      <c r="HH34" s="15"/>
      <c r="HI34" s="15"/>
      <c r="HJ34" s="15"/>
      <c r="HK34" s="15"/>
      <c r="HL34" s="15"/>
      <c r="HM34" s="15"/>
      <c r="HN34" s="15"/>
      <c r="HO34" s="15"/>
      <c r="HP34" s="15"/>
      <c r="HQ34" s="15"/>
      <c r="HR34" s="15"/>
      <c r="HS34" s="15"/>
      <c r="HT34" s="15"/>
      <c r="HU34" s="15"/>
      <c r="HV34" s="15"/>
      <c r="HW34" s="15"/>
      <c r="HX34" s="15"/>
      <c r="HY34" s="15"/>
      <c r="HZ34" s="15"/>
      <c r="IA34" s="15"/>
      <c r="IB34" s="15"/>
      <c r="IC34" s="15"/>
      <c r="ID34" s="15"/>
      <c r="IE34" s="15"/>
      <c r="IF34" s="15"/>
      <c r="IG34" s="15"/>
      <c r="IH34" s="15"/>
      <c r="II34" s="15"/>
      <c r="IJ34" s="15"/>
      <c r="IK34" s="15"/>
      <c r="IL34" s="15"/>
      <c r="IM34" s="15"/>
      <c r="IN34" s="15"/>
      <c r="IO34" s="15"/>
      <c r="IP34" s="15"/>
      <c r="IQ34" s="15"/>
      <c r="IR34" s="15"/>
      <c r="IS34" s="15"/>
      <c r="IT34" s="15"/>
      <c r="IU34" s="15"/>
      <c r="IV34" s="15"/>
      <c r="IW34" s="15"/>
      <c r="IX34" s="15"/>
      <c r="IY34" s="15"/>
      <c r="IZ34" s="15"/>
      <c r="JA34" s="15"/>
      <c r="JB34" s="15"/>
      <c r="JC34" s="15"/>
      <c r="JD34" s="15"/>
      <c r="JE34" s="15"/>
      <c r="JF34" s="15"/>
      <c r="JG34" s="15"/>
      <c r="JH34" s="15"/>
      <c r="JI34" s="15"/>
      <c r="JJ34" s="15"/>
      <c r="JK34" s="15"/>
      <c r="JL34" s="15"/>
      <c r="JM34" s="15"/>
      <c r="JN34" s="15"/>
      <c r="JO34" s="15"/>
      <c r="JP34" s="15"/>
      <c r="JQ34" s="15"/>
      <c r="JR34" s="15"/>
      <c r="JS34" s="15"/>
      <c r="JT34" s="15"/>
      <c r="JU34" s="15"/>
      <c r="JV34" s="15"/>
      <c r="JW34" s="15"/>
      <c r="JX34" s="15"/>
      <c r="JY34" s="15"/>
      <c r="JZ34" s="15"/>
      <c r="KA34" s="15"/>
      <c r="KB34" s="15"/>
      <c r="KC34" s="15"/>
      <c r="KD34" s="15"/>
      <c r="KE34" s="15"/>
      <c r="KF34" s="15"/>
      <c r="KG34" s="15"/>
      <c r="KH34" s="15"/>
      <c r="KI34" s="15"/>
      <c r="KJ34" s="15"/>
      <c r="KK34" s="15"/>
      <c r="KL34" s="15"/>
      <c r="KM34" s="15"/>
      <c r="KN34" s="15"/>
      <c r="KO34" s="15"/>
      <c r="KP34" s="15"/>
      <c r="KQ34" s="15"/>
      <c r="KR34" s="15"/>
      <c r="KS34" s="15"/>
      <c r="KT34" s="15"/>
      <c r="KU34" s="15"/>
      <c r="KV34" s="15"/>
      <c r="KW34" s="15"/>
      <c r="KX34" s="15"/>
      <c r="KY34" s="15"/>
      <c r="KZ34" s="15"/>
      <c r="LA34" s="15"/>
      <c r="LB34" s="15"/>
      <c r="LC34" s="15"/>
      <c r="LD34" s="15"/>
      <c r="LE34" s="15"/>
      <c r="LF34" s="15"/>
      <c r="LG34" s="15"/>
      <c r="LH34" s="15"/>
      <c r="LI34" s="15"/>
      <c r="LJ34" s="15"/>
      <c r="LK34" s="15"/>
      <c r="LL34" s="15"/>
      <c r="LM34" s="15"/>
      <c r="LN34" s="15"/>
      <c r="LO34" s="15"/>
      <c r="LP34" s="15"/>
      <c r="LQ34" s="15"/>
      <c r="LR34" s="15"/>
      <c r="LS34" s="15"/>
      <c r="LT34" s="15"/>
      <c r="LU34" s="15"/>
      <c r="LV34" s="15"/>
      <c r="LW34" s="15"/>
      <c r="LX34" s="15"/>
      <c r="LY34" s="15"/>
      <c r="LZ34" s="15"/>
      <c r="MA34" s="15"/>
      <c r="MB34" s="15"/>
      <c r="MC34" s="15"/>
      <c r="MD34" s="15"/>
      <c r="ME34" s="15"/>
      <c r="MF34" s="15"/>
      <c r="MG34" s="15"/>
      <c r="MH34" s="15"/>
      <c r="MI34" s="15"/>
      <c r="MJ34" s="15"/>
      <c r="MK34" s="15"/>
      <c r="ML34" s="15"/>
      <c r="MM34" s="15"/>
      <c r="MN34" s="15"/>
      <c r="MO34" s="15"/>
      <c r="MP34" s="15"/>
      <c r="MQ34" s="15"/>
    </row>
    <row r="35" spans="1:355" s="15" customFormat="1" ht="39.950000000000003" customHeight="1" x14ac:dyDescent="0.25">
      <c r="A35" s="22">
        <v>28</v>
      </c>
      <c r="B35" s="23" t="s">
        <v>5</v>
      </c>
      <c r="C35" s="23">
        <v>300</v>
      </c>
      <c r="D35" s="23">
        <v>1000</v>
      </c>
      <c r="E35" s="23">
        <v>280</v>
      </c>
      <c r="F35" s="23">
        <v>60</v>
      </c>
      <c r="G35" s="19">
        <v>200</v>
      </c>
      <c r="H35" s="19">
        <v>0.45</v>
      </c>
      <c r="I35" s="23">
        <v>2</v>
      </c>
      <c r="J35" s="23">
        <v>5</v>
      </c>
      <c r="K35" s="50" t="s">
        <v>38</v>
      </c>
      <c r="L35" s="19">
        <v>216</v>
      </c>
      <c r="M35" s="19">
        <v>0.52</v>
      </c>
      <c r="N35" s="47"/>
    </row>
    <row r="36" spans="1:355" s="15" customFormat="1" ht="39.950000000000003" customHeight="1" x14ac:dyDescent="0.25">
      <c r="A36" s="22">
        <v>29</v>
      </c>
      <c r="B36" s="27" t="s">
        <v>54</v>
      </c>
      <c r="C36" s="23">
        <v>450</v>
      </c>
      <c r="D36" s="23">
        <v>600</v>
      </c>
      <c r="E36" s="23">
        <v>250</v>
      </c>
      <c r="F36" s="23">
        <v>50</v>
      </c>
      <c r="G36" s="19">
        <v>500</v>
      </c>
      <c r="H36" s="19">
        <v>0.6</v>
      </c>
      <c r="I36" s="23">
        <v>3</v>
      </c>
      <c r="J36" s="23">
        <v>3</v>
      </c>
      <c r="K36" s="50" t="s">
        <v>83</v>
      </c>
      <c r="L36" s="19">
        <v>464</v>
      </c>
      <c r="M36" s="19">
        <v>0.47</v>
      </c>
      <c r="N36" s="48"/>
    </row>
    <row r="37" spans="1:355" s="16" customFormat="1" ht="39.950000000000003" customHeight="1" x14ac:dyDescent="0.25">
      <c r="A37" s="22">
        <v>30</v>
      </c>
      <c r="B37" s="21" t="s">
        <v>55</v>
      </c>
      <c r="C37" s="23">
        <v>800</v>
      </c>
      <c r="D37" s="23">
        <v>1000</v>
      </c>
      <c r="E37" s="23">
        <v>350</v>
      </c>
      <c r="F37" s="23">
        <v>65</v>
      </c>
      <c r="G37" s="19">
        <v>800</v>
      </c>
      <c r="H37" s="19">
        <v>0.6</v>
      </c>
      <c r="I37" s="23">
        <v>4</v>
      </c>
      <c r="J37" s="23">
        <v>5</v>
      </c>
      <c r="K37" s="50" t="s">
        <v>37</v>
      </c>
      <c r="L37" s="19">
        <v>862</v>
      </c>
      <c r="M37" s="19">
        <v>0.52</v>
      </c>
      <c r="N37" s="47"/>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c r="BV37" s="15"/>
      <c r="BW37" s="15"/>
      <c r="BX37" s="15"/>
      <c r="BY37" s="15"/>
      <c r="BZ37" s="15"/>
      <c r="CA37" s="15"/>
      <c r="CB37" s="15"/>
      <c r="CC37" s="15"/>
      <c r="CD37" s="15"/>
      <c r="CE37" s="15"/>
      <c r="CF37" s="15"/>
      <c r="CG37" s="15"/>
      <c r="CH37" s="15"/>
      <c r="CI37" s="15"/>
      <c r="CJ37" s="15"/>
      <c r="CK37" s="15"/>
      <c r="CL37" s="15"/>
      <c r="CM37" s="15"/>
      <c r="CN37" s="15"/>
      <c r="CO37" s="15"/>
      <c r="CP37" s="15"/>
      <c r="CQ37" s="15"/>
      <c r="CR37" s="15"/>
      <c r="CS37" s="15"/>
      <c r="CT37" s="15"/>
      <c r="CU37" s="15"/>
      <c r="CV37" s="15"/>
      <c r="CW37" s="15"/>
      <c r="CX37" s="15"/>
      <c r="CY37" s="15"/>
      <c r="CZ37" s="15"/>
      <c r="DA37" s="15"/>
      <c r="DB37" s="15"/>
      <c r="DC37" s="15"/>
      <c r="DD37" s="15"/>
      <c r="DE37" s="15"/>
      <c r="DF37" s="15"/>
      <c r="DG37" s="15"/>
      <c r="DH37" s="15"/>
      <c r="DI37" s="15"/>
      <c r="DJ37" s="15"/>
      <c r="DK37" s="15"/>
      <c r="DL37" s="15"/>
      <c r="DM37" s="15"/>
      <c r="DN37" s="15"/>
      <c r="DO37" s="15"/>
      <c r="DP37" s="15"/>
      <c r="DQ37" s="15"/>
      <c r="DR37" s="15"/>
      <c r="DS37" s="15"/>
      <c r="DT37" s="15"/>
      <c r="DU37" s="15"/>
      <c r="DV37" s="15"/>
      <c r="DW37" s="15"/>
      <c r="DX37" s="15"/>
      <c r="DY37" s="15"/>
      <c r="DZ37" s="15"/>
      <c r="EA37" s="15"/>
      <c r="EB37" s="15"/>
      <c r="EC37" s="15"/>
      <c r="ED37" s="15"/>
      <c r="EE37" s="15"/>
      <c r="EF37" s="15"/>
      <c r="EG37" s="15"/>
      <c r="EH37" s="15"/>
      <c r="EI37" s="15"/>
      <c r="EJ37" s="15"/>
      <c r="EK37" s="15"/>
      <c r="EL37" s="15"/>
      <c r="EM37" s="15"/>
      <c r="EN37" s="15"/>
      <c r="EO37" s="15"/>
      <c r="EP37" s="15"/>
      <c r="EQ37" s="15"/>
      <c r="ER37" s="15"/>
      <c r="ES37" s="15"/>
      <c r="ET37" s="15"/>
      <c r="EU37" s="15"/>
      <c r="EV37" s="15"/>
      <c r="EW37" s="15"/>
      <c r="EX37" s="15"/>
      <c r="EY37" s="15"/>
      <c r="EZ37" s="15"/>
      <c r="FA37" s="15"/>
      <c r="FB37" s="15"/>
      <c r="FC37" s="15"/>
      <c r="FD37" s="15"/>
      <c r="FE37" s="15"/>
      <c r="FF37" s="15"/>
      <c r="FG37" s="15"/>
      <c r="FH37" s="15"/>
      <c r="FI37" s="15"/>
      <c r="FJ37" s="15"/>
      <c r="FK37" s="15"/>
      <c r="FL37" s="15"/>
      <c r="FM37" s="15"/>
      <c r="FN37" s="15"/>
      <c r="FO37" s="15"/>
      <c r="FP37" s="15"/>
      <c r="FQ37" s="15"/>
      <c r="FR37" s="15"/>
      <c r="FS37" s="15"/>
      <c r="FT37" s="15"/>
      <c r="FU37" s="15"/>
      <c r="FV37" s="15"/>
      <c r="FW37" s="15"/>
      <c r="FX37" s="15"/>
      <c r="FY37" s="15"/>
      <c r="FZ37" s="15"/>
      <c r="GA37" s="15"/>
      <c r="GB37" s="15"/>
      <c r="GC37" s="15"/>
      <c r="GD37" s="15"/>
      <c r="GE37" s="15"/>
      <c r="GF37" s="15"/>
      <c r="GG37" s="15"/>
      <c r="GH37" s="15"/>
      <c r="GI37" s="15"/>
      <c r="GJ37" s="15"/>
      <c r="GK37" s="15"/>
      <c r="GL37" s="15"/>
      <c r="GM37" s="15"/>
      <c r="GN37" s="15"/>
      <c r="GO37" s="15"/>
      <c r="GP37" s="15"/>
      <c r="GQ37" s="15"/>
      <c r="GR37" s="15"/>
      <c r="GS37" s="15"/>
      <c r="GT37" s="15"/>
      <c r="GU37" s="15"/>
      <c r="GV37" s="15"/>
      <c r="GW37" s="15"/>
      <c r="GX37" s="15"/>
      <c r="GY37" s="15"/>
      <c r="GZ37" s="15"/>
      <c r="HA37" s="15"/>
      <c r="HB37" s="15"/>
      <c r="HC37" s="15"/>
      <c r="HD37" s="15"/>
      <c r="HE37" s="15"/>
      <c r="HF37" s="15"/>
      <c r="HG37" s="15"/>
      <c r="HH37" s="15"/>
      <c r="HI37" s="15"/>
      <c r="HJ37" s="15"/>
      <c r="HK37" s="15"/>
      <c r="HL37" s="15"/>
      <c r="HM37" s="15"/>
      <c r="HN37" s="15"/>
      <c r="HO37" s="15"/>
      <c r="HP37" s="15"/>
      <c r="HQ37" s="15"/>
      <c r="HR37" s="15"/>
      <c r="HS37" s="15"/>
      <c r="HT37" s="15"/>
      <c r="HU37" s="15"/>
      <c r="HV37" s="15"/>
      <c r="HW37" s="15"/>
      <c r="HX37" s="15"/>
      <c r="HY37" s="15"/>
      <c r="HZ37" s="15"/>
      <c r="IA37" s="15"/>
      <c r="IB37" s="15"/>
      <c r="IC37" s="15"/>
      <c r="ID37" s="15"/>
      <c r="IE37" s="15"/>
      <c r="IF37" s="15"/>
      <c r="IG37" s="15"/>
      <c r="IH37" s="15"/>
      <c r="II37" s="15"/>
      <c r="IJ37" s="15"/>
      <c r="IK37" s="15"/>
      <c r="IL37" s="15"/>
      <c r="IM37" s="15"/>
      <c r="IN37" s="15"/>
      <c r="IO37" s="15"/>
      <c r="IP37" s="15"/>
      <c r="IQ37" s="15"/>
      <c r="IR37" s="15"/>
      <c r="IS37" s="15"/>
      <c r="IT37" s="15"/>
      <c r="IU37" s="15"/>
      <c r="IV37" s="15"/>
      <c r="IW37" s="15"/>
      <c r="IX37" s="15"/>
      <c r="IY37" s="15"/>
      <c r="IZ37" s="15"/>
      <c r="JA37" s="15"/>
      <c r="JB37" s="15"/>
      <c r="JC37" s="15"/>
      <c r="JD37" s="15"/>
      <c r="JE37" s="15"/>
      <c r="JF37" s="15"/>
      <c r="JG37" s="15"/>
      <c r="JH37" s="15"/>
      <c r="JI37" s="15"/>
      <c r="JJ37" s="15"/>
      <c r="JK37" s="15"/>
      <c r="JL37" s="15"/>
      <c r="JM37" s="15"/>
      <c r="JN37" s="15"/>
      <c r="JO37" s="15"/>
      <c r="JP37" s="15"/>
      <c r="JQ37" s="15"/>
      <c r="JR37" s="15"/>
      <c r="JS37" s="15"/>
      <c r="JT37" s="15"/>
      <c r="JU37" s="15"/>
      <c r="JV37" s="15"/>
      <c r="JW37" s="15"/>
      <c r="JX37" s="15"/>
      <c r="JY37" s="15"/>
      <c r="JZ37" s="15"/>
      <c r="KA37" s="15"/>
      <c r="KB37" s="15"/>
      <c r="KC37" s="15"/>
      <c r="KD37" s="15"/>
      <c r="KE37" s="15"/>
      <c r="KF37" s="15"/>
      <c r="KG37" s="15"/>
      <c r="KH37" s="15"/>
      <c r="KI37" s="15"/>
      <c r="KJ37" s="15"/>
      <c r="KK37" s="15"/>
      <c r="KL37" s="15"/>
      <c r="KM37" s="15"/>
      <c r="KN37" s="15"/>
      <c r="KO37" s="15"/>
      <c r="KP37" s="15"/>
      <c r="KQ37" s="15"/>
      <c r="KR37" s="15"/>
      <c r="KS37" s="15"/>
      <c r="KT37" s="15"/>
      <c r="KU37" s="15"/>
      <c r="KV37" s="15"/>
      <c r="KW37" s="15"/>
      <c r="KX37" s="15"/>
      <c r="KY37" s="15"/>
      <c r="KZ37" s="15"/>
      <c r="LA37" s="15"/>
      <c r="LB37" s="15"/>
      <c r="LC37" s="15"/>
      <c r="LD37" s="15"/>
      <c r="LE37" s="15"/>
      <c r="LF37" s="15"/>
      <c r="LG37" s="15"/>
      <c r="LH37" s="15"/>
      <c r="LI37" s="15"/>
      <c r="LJ37" s="15"/>
      <c r="LK37" s="15"/>
      <c r="LL37" s="15"/>
      <c r="LM37" s="15"/>
      <c r="LN37" s="15"/>
      <c r="LO37" s="15"/>
      <c r="LP37" s="15"/>
      <c r="LQ37" s="15"/>
      <c r="LR37" s="15"/>
      <c r="LS37" s="15"/>
      <c r="LT37" s="15"/>
      <c r="LU37" s="15"/>
      <c r="LV37" s="15"/>
      <c r="LW37" s="15"/>
      <c r="LX37" s="15"/>
      <c r="LY37" s="15"/>
      <c r="LZ37" s="15"/>
      <c r="MA37" s="15"/>
      <c r="MB37" s="15"/>
      <c r="MC37" s="15"/>
      <c r="MD37" s="15"/>
      <c r="ME37" s="15"/>
      <c r="MF37" s="15"/>
      <c r="MG37" s="15"/>
      <c r="MH37" s="15"/>
      <c r="MI37" s="15"/>
      <c r="MJ37" s="15"/>
      <c r="MK37" s="15"/>
      <c r="ML37" s="15"/>
      <c r="MM37" s="15"/>
      <c r="MN37" s="15"/>
      <c r="MO37" s="15"/>
      <c r="MP37" s="15"/>
      <c r="MQ37" s="15"/>
    </row>
    <row r="47" spans="1:355" x14ac:dyDescent="0.25">
      <c r="A47" s="65" t="s">
        <v>69</v>
      </c>
      <c r="B47" s="66"/>
      <c r="C47" s="66"/>
      <c r="D47" s="66"/>
      <c r="E47" s="66"/>
      <c r="F47" s="66"/>
      <c r="G47" s="66"/>
      <c r="H47" s="66"/>
      <c r="I47" s="66"/>
      <c r="J47" s="66"/>
      <c r="K47" s="66"/>
      <c r="L47" s="66"/>
      <c r="M47" s="66"/>
      <c r="N47" s="66"/>
    </row>
    <row r="48" spans="1:355" ht="36.75" customHeight="1" x14ac:dyDescent="0.25">
      <c r="A48" s="67"/>
      <c r="B48" s="68"/>
      <c r="C48" s="68"/>
      <c r="D48" s="68"/>
      <c r="E48" s="68"/>
      <c r="F48" s="68"/>
      <c r="G48" s="68"/>
      <c r="H48" s="68"/>
      <c r="I48" s="68"/>
      <c r="J48" s="68"/>
      <c r="K48" s="68"/>
      <c r="L48" s="68"/>
      <c r="M48" s="68"/>
      <c r="N48" s="68"/>
    </row>
    <row r="49" spans="1:355" ht="25.5" customHeight="1" x14ac:dyDescent="0.3">
      <c r="A49" s="64" t="s">
        <v>57</v>
      </c>
      <c r="B49" s="64"/>
      <c r="C49" s="64"/>
      <c r="D49" s="64"/>
      <c r="E49" s="64"/>
      <c r="F49" s="64"/>
      <c r="G49" s="64"/>
      <c r="H49" s="64"/>
      <c r="I49" s="64"/>
      <c r="J49" s="64"/>
      <c r="K49" s="64"/>
      <c r="L49" s="13" t="s">
        <v>0</v>
      </c>
      <c r="M49" s="13" t="s">
        <v>67</v>
      </c>
      <c r="N49" s="69" t="s">
        <v>58</v>
      </c>
    </row>
    <row r="50" spans="1:355" s="1" customFormat="1" ht="39.950000000000003" customHeight="1" x14ac:dyDescent="0.25">
      <c r="A50" s="4">
        <v>20</v>
      </c>
      <c r="B50" s="14" t="s">
        <v>55</v>
      </c>
      <c r="C50" s="29">
        <v>750</v>
      </c>
      <c r="D50" s="29">
        <v>800</v>
      </c>
      <c r="E50" s="29">
        <v>420</v>
      </c>
      <c r="F50" s="29">
        <v>60</v>
      </c>
      <c r="G50" s="29">
        <v>500</v>
      </c>
      <c r="H50" s="29">
        <v>0.6</v>
      </c>
      <c r="I50" s="30">
        <v>3</v>
      </c>
      <c r="J50" s="30">
        <v>4</v>
      </c>
      <c r="K50" s="14" t="s">
        <v>59</v>
      </c>
      <c r="L50" s="14">
        <v>559</v>
      </c>
      <c r="M50" s="14">
        <v>0.59</v>
      </c>
      <c r="N50" s="7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row>
    <row r="51" spans="1:355" ht="80.25" customHeight="1" x14ac:dyDescent="0.25"/>
    <row r="52" spans="1:355" ht="40.5" customHeight="1" x14ac:dyDescent="0.25">
      <c r="A52" s="63" t="s">
        <v>68</v>
      </c>
      <c r="B52" s="63"/>
      <c r="C52" s="63"/>
      <c r="D52" s="63"/>
      <c r="E52" s="63"/>
      <c r="F52" s="63"/>
      <c r="G52" s="63"/>
      <c r="H52" s="63"/>
      <c r="I52" s="63" t="s">
        <v>58</v>
      </c>
      <c r="J52" s="63"/>
    </row>
    <row r="53" spans="1:355" s="33" customFormat="1" ht="35.25" customHeight="1" x14ac:dyDescent="0.25">
      <c r="A53" s="25" t="s">
        <v>60</v>
      </c>
      <c r="B53" s="25" t="s">
        <v>28</v>
      </c>
      <c r="C53" s="25" t="s">
        <v>61</v>
      </c>
      <c r="D53" s="25" t="s">
        <v>62</v>
      </c>
      <c r="E53" s="25" t="s">
        <v>63</v>
      </c>
      <c r="F53" s="25" t="s">
        <v>64</v>
      </c>
      <c r="G53" s="25" t="s">
        <v>65</v>
      </c>
      <c r="H53" s="25" t="s">
        <v>65</v>
      </c>
      <c r="I53" s="25" t="s">
        <v>0</v>
      </c>
      <c r="J53" s="25" t="s">
        <v>66</v>
      </c>
      <c r="K53" s="34"/>
    </row>
    <row r="54" spans="1:355" s="5" customFormat="1" ht="39.950000000000003" customHeight="1" x14ac:dyDescent="0.2">
      <c r="A54" s="31">
        <v>1</v>
      </c>
      <c r="B54" s="61" t="s">
        <v>55</v>
      </c>
      <c r="C54" s="32" t="s">
        <v>8</v>
      </c>
      <c r="D54" s="32" t="s">
        <v>9</v>
      </c>
      <c r="E54" s="31">
        <v>31</v>
      </c>
      <c r="F54" s="31">
        <v>4100</v>
      </c>
      <c r="G54" s="31" t="s">
        <v>10</v>
      </c>
      <c r="H54" s="31" t="s">
        <v>10</v>
      </c>
      <c r="I54" s="39">
        <v>568</v>
      </c>
      <c r="J54" s="40">
        <v>0.54</v>
      </c>
      <c r="K54" s="11"/>
      <c r="L54" s="35"/>
      <c r="M54" s="36"/>
      <c r="N54" s="11"/>
      <c r="O54" s="11"/>
      <c r="P54" s="12"/>
      <c r="Q54" s="7"/>
      <c r="R54" s="7"/>
      <c r="S54" s="7"/>
      <c r="T54" s="7"/>
      <c r="U54" s="7"/>
      <c r="V54" s="7"/>
      <c r="W54" s="7"/>
      <c r="X54" s="7"/>
      <c r="Y54" s="7"/>
      <c r="Z54" s="7"/>
      <c r="AA54" s="7"/>
      <c r="AB54" s="7"/>
      <c r="AC54" s="7"/>
      <c r="AD54" s="7"/>
      <c r="AE54" s="7"/>
      <c r="AF54" s="7"/>
      <c r="AG54" s="7"/>
      <c r="AH54" s="7"/>
      <c r="AI54" s="7"/>
      <c r="AJ54" s="7"/>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c r="JQ54" s="6"/>
      <c r="JR54" s="6"/>
      <c r="JS54" s="6"/>
      <c r="JT54" s="6"/>
      <c r="JU54" s="6"/>
      <c r="JV54" s="6"/>
      <c r="JW54" s="6"/>
      <c r="JX54" s="6"/>
      <c r="JY54" s="6"/>
      <c r="JZ54" s="6"/>
      <c r="KA54" s="6"/>
      <c r="KB54" s="6"/>
      <c r="KC54" s="6"/>
      <c r="KD54" s="6"/>
      <c r="KE54" s="6"/>
      <c r="KF54" s="6"/>
      <c r="KG54" s="6"/>
      <c r="KH54" s="6"/>
      <c r="KI54" s="6"/>
      <c r="KJ54" s="6"/>
      <c r="KK54" s="6"/>
      <c r="KL54" s="6"/>
      <c r="KM54" s="6"/>
      <c r="KN54" s="6"/>
      <c r="KO54" s="6"/>
      <c r="KP54" s="6"/>
      <c r="KQ54" s="6"/>
      <c r="KR54" s="6"/>
      <c r="KS54" s="6"/>
      <c r="KT54" s="6"/>
      <c r="KU54" s="6"/>
      <c r="KV54" s="6"/>
      <c r="KW54" s="6"/>
      <c r="KX54" s="6"/>
      <c r="KY54" s="6"/>
      <c r="KZ54" s="6"/>
      <c r="LA54" s="6"/>
      <c r="LB54" s="6"/>
      <c r="LC54" s="6"/>
      <c r="LD54" s="6"/>
      <c r="LE54" s="6"/>
      <c r="LF54" s="6"/>
      <c r="LG54" s="6"/>
      <c r="LH54" s="6"/>
      <c r="LI54" s="6"/>
      <c r="LJ54" s="6"/>
      <c r="LK54" s="6"/>
      <c r="LL54" s="6"/>
      <c r="LM54" s="6"/>
      <c r="LN54" s="6"/>
      <c r="LO54" s="6"/>
      <c r="LP54" s="6"/>
      <c r="LQ54" s="6"/>
      <c r="LR54" s="6"/>
      <c r="LS54" s="6"/>
      <c r="LT54" s="6"/>
      <c r="LU54" s="6"/>
      <c r="LV54" s="6"/>
      <c r="LW54" s="6"/>
      <c r="LX54" s="6"/>
      <c r="LY54" s="6"/>
      <c r="LZ54" s="6"/>
      <c r="MA54" s="6"/>
      <c r="MB54" s="6"/>
      <c r="MC54" s="6"/>
      <c r="MD54" s="6"/>
      <c r="ME54" s="6"/>
      <c r="MF54" s="6"/>
      <c r="MG54" s="6"/>
      <c r="MH54" s="6"/>
      <c r="MI54" s="6"/>
      <c r="MJ54" s="6"/>
      <c r="MK54" s="6"/>
      <c r="ML54" s="6"/>
      <c r="MM54" s="6"/>
      <c r="MN54" s="6"/>
      <c r="MO54" s="6"/>
      <c r="MP54" s="6"/>
      <c r="MQ54" s="6"/>
    </row>
    <row r="55" spans="1:355" s="5" customFormat="1" ht="39.950000000000003" customHeight="1" x14ac:dyDescent="0.2">
      <c r="A55" s="8">
        <v>2</v>
      </c>
      <c r="B55" s="62"/>
      <c r="C55" s="10" t="s">
        <v>8</v>
      </c>
      <c r="D55" s="10" t="s">
        <v>11</v>
      </c>
      <c r="E55" s="8">
        <v>23</v>
      </c>
      <c r="F55" s="8">
        <v>3080</v>
      </c>
      <c r="G55" s="8" t="s">
        <v>10</v>
      </c>
      <c r="H55" s="8" t="s">
        <v>10</v>
      </c>
      <c r="I55" s="39">
        <v>427</v>
      </c>
      <c r="J55" s="40">
        <v>0.53</v>
      </c>
      <c r="K55" s="11"/>
      <c r="L55" s="35"/>
      <c r="M55" s="36"/>
      <c r="N55" s="11"/>
      <c r="O55" s="11"/>
      <c r="P55" s="12"/>
      <c r="Q55" s="7"/>
      <c r="R55" s="7"/>
      <c r="S55" s="7"/>
      <c r="T55" s="7"/>
      <c r="U55" s="7"/>
      <c r="V55" s="7"/>
      <c r="W55" s="7"/>
      <c r="X55" s="7"/>
      <c r="Y55" s="7"/>
      <c r="Z55" s="7"/>
      <c r="AA55" s="7"/>
      <c r="AB55" s="7"/>
      <c r="AC55" s="7"/>
      <c r="AD55" s="7"/>
      <c r="AE55" s="7"/>
      <c r="AF55" s="7"/>
      <c r="AG55" s="7"/>
      <c r="AH55" s="7"/>
      <c r="AI55" s="7"/>
      <c r="AJ55" s="7"/>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c r="JQ55" s="6"/>
      <c r="JR55" s="6"/>
      <c r="JS55" s="6"/>
      <c r="JT55" s="6"/>
      <c r="JU55" s="6"/>
      <c r="JV55" s="6"/>
      <c r="JW55" s="6"/>
      <c r="JX55" s="6"/>
      <c r="JY55" s="6"/>
      <c r="JZ55" s="6"/>
      <c r="KA55" s="6"/>
      <c r="KB55" s="6"/>
      <c r="KC55" s="6"/>
      <c r="KD55" s="6"/>
      <c r="KE55" s="6"/>
      <c r="KF55" s="6"/>
      <c r="KG55" s="6"/>
      <c r="KH55" s="6"/>
      <c r="KI55" s="6"/>
      <c r="KJ55" s="6"/>
      <c r="KK55" s="6"/>
      <c r="KL55" s="6"/>
      <c r="KM55" s="6"/>
      <c r="KN55" s="6"/>
      <c r="KO55" s="6"/>
      <c r="KP55" s="6"/>
      <c r="KQ55" s="6"/>
      <c r="KR55" s="6"/>
      <c r="KS55" s="6"/>
      <c r="KT55" s="6"/>
      <c r="KU55" s="6"/>
      <c r="KV55" s="6"/>
      <c r="KW55" s="6"/>
      <c r="KX55" s="6"/>
      <c r="KY55" s="6"/>
      <c r="KZ55" s="6"/>
      <c r="LA55" s="6"/>
      <c r="LB55" s="6"/>
      <c r="LC55" s="6"/>
      <c r="LD55" s="6"/>
      <c r="LE55" s="6"/>
      <c r="LF55" s="6"/>
      <c r="LG55" s="6"/>
      <c r="LH55" s="6"/>
      <c r="LI55" s="6"/>
      <c r="LJ55" s="6"/>
      <c r="LK55" s="6"/>
      <c r="LL55" s="6"/>
      <c r="LM55" s="6"/>
      <c r="LN55" s="6"/>
      <c r="LO55" s="6"/>
      <c r="LP55" s="6"/>
      <c r="LQ55" s="6"/>
      <c r="LR55" s="6"/>
      <c r="LS55" s="6"/>
      <c r="LT55" s="6"/>
      <c r="LU55" s="6"/>
      <c r="LV55" s="6"/>
      <c r="LW55" s="6"/>
      <c r="LX55" s="6"/>
      <c r="LY55" s="6"/>
      <c r="LZ55" s="6"/>
      <c r="MA55" s="6"/>
      <c r="MB55" s="6"/>
      <c r="MC55" s="6"/>
      <c r="MD55" s="6"/>
      <c r="ME55" s="6"/>
      <c r="MF55" s="6"/>
      <c r="MG55" s="6"/>
      <c r="MH55" s="6"/>
      <c r="MI55" s="6"/>
      <c r="MJ55" s="6"/>
      <c r="MK55" s="6"/>
      <c r="ML55" s="6"/>
      <c r="MM55" s="6"/>
      <c r="MN55" s="6"/>
      <c r="MO55" s="6"/>
      <c r="MP55" s="6"/>
      <c r="MQ55" s="6"/>
    </row>
    <row r="56" spans="1:355" s="5" customFormat="1" ht="39.950000000000003" customHeight="1" x14ac:dyDescent="0.2">
      <c r="A56" s="9">
        <v>3</v>
      </c>
      <c r="B56" s="62"/>
      <c r="C56" s="10" t="s">
        <v>8</v>
      </c>
      <c r="D56" s="10" t="s">
        <v>12</v>
      </c>
      <c r="E56" s="8">
        <v>43</v>
      </c>
      <c r="F56" s="8">
        <v>4402</v>
      </c>
      <c r="G56" s="8" t="s">
        <v>10</v>
      </c>
      <c r="H56" s="8" t="s">
        <v>10</v>
      </c>
      <c r="I56" s="41">
        <v>559</v>
      </c>
      <c r="J56" s="42">
        <v>0.59</v>
      </c>
      <c r="K56" s="11"/>
      <c r="L56" s="37"/>
      <c r="M56" s="38"/>
      <c r="N56" s="11"/>
      <c r="O56" s="11"/>
      <c r="P56" s="12"/>
      <c r="Q56" s="7"/>
      <c r="R56" s="7"/>
      <c r="S56" s="7"/>
      <c r="T56" s="7"/>
      <c r="U56" s="7"/>
      <c r="V56" s="7"/>
      <c r="W56" s="7"/>
      <c r="X56" s="7"/>
      <c r="Y56" s="7"/>
      <c r="Z56" s="7"/>
      <c r="AA56" s="7"/>
      <c r="AB56" s="7"/>
      <c r="AC56" s="7"/>
      <c r="AD56" s="7"/>
      <c r="AE56" s="7"/>
      <c r="AF56" s="7"/>
      <c r="AG56" s="7"/>
      <c r="AH56" s="7"/>
      <c r="AI56" s="7"/>
      <c r="AJ56" s="7"/>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c r="JQ56" s="6"/>
      <c r="JR56" s="6"/>
      <c r="JS56" s="6"/>
      <c r="JT56" s="6"/>
      <c r="JU56" s="6"/>
      <c r="JV56" s="6"/>
      <c r="JW56" s="6"/>
      <c r="JX56" s="6"/>
      <c r="JY56" s="6"/>
      <c r="JZ56" s="6"/>
      <c r="KA56" s="6"/>
      <c r="KB56" s="6"/>
      <c r="KC56" s="6"/>
      <c r="KD56" s="6"/>
      <c r="KE56" s="6"/>
      <c r="KF56" s="6"/>
      <c r="KG56" s="6"/>
      <c r="KH56" s="6"/>
      <c r="KI56" s="6"/>
      <c r="KJ56" s="6"/>
      <c r="KK56" s="6"/>
      <c r="KL56" s="6"/>
      <c r="KM56" s="6"/>
      <c r="KN56" s="6"/>
      <c r="KO56" s="6"/>
      <c r="KP56" s="6"/>
      <c r="KQ56" s="6"/>
      <c r="KR56" s="6"/>
      <c r="KS56" s="6"/>
      <c r="KT56" s="6"/>
      <c r="KU56" s="6"/>
      <c r="KV56" s="6"/>
      <c r="KW56" s="6"/>
      <c r="KX56" s="6"/>
      <c r="KY56" s="6"/>
      <c r="KZ56" s="6"/>
      <c r="LA56" s="6"/>
      <c r="LB56" s="6"/>
      <c r="LC56" s="6"/>
      <c r="LD56" s="6"/>
      <c r="LE56" s="6"/>
      <c r="LF56" s="6"/>
      <c r="LG56" s="6"/>
      <c r="LH56" s="6"/>
      <c r="LI56" s="6"/>
      <c r="LJ56" s="6"/>
      <c r="LK56" s="6"/>
      <c r="LL56" s="6"/>
      <c r="LM56" s="6"/>
      <c r="LN56" s="6"/>
      <c r="LO56" s="6"/>
      <c r="LP56" s="6"/>
      <c r="LQ56" s="6"/>
      <c r="LR56" s="6"/>
      <c r="LS56" s="6"/>
      <c r="LT56" s="6"/>
      <c r="LU56" s="6"/>
      <c r="LV56" s="6"/>
      <c r="LW56" s="6"/>
      <c r="LX56" s="6"/>
      <c r="LY56" s="6"/>
      <c r="LZ56" s="6"/>
      <c r="MA56" s="6"/>
      <c r="MB56" s="6"/>
      <c r="MC56" s="6"/>
      <c r="MD56" s="6"/>
      <c r="ME56" s="6"/>
      <c r="MF56" s="6"/>
      <c r="MG56" s="6"/>
      <c r="MH56" s="6"/>
      <c r="MI56" s="6"/>
      <c r="MJ56" s="6"/>
      <c r="MK56" s="6"/>
      <c r="ML56" s="6"/>
      <c r="MM56" s="6"/>
      <c r="MN56" s="6"/>
      <c r="MO56" s="6"/>
      <c r="MP56" s="6"/>
      <c r="MQ56" s="6"/>
    </row>
    <row r="57" spans="1:355" s="5" customFormat="1" ht="39.950000000000003" customHeight="1" x14ac:dyDescent="0.2">
      <c r="A57" s="8">
        <v>4</v>
      </c>
      <c r="B57" s="62"/>
      <c r="C57" s="10" t="s">
        <v>13</v>
      </c>
      <c r="D57" s="10" t="s">
        <v>14</v>
      </c>
      <c r="E57" s="8">
        <v>29</v>
      </c>
      <c r="F57" s="8">
        <v>4560</v>
      </c>
      <c r="G57" s="8" t="s">
        <v>10</v>
      </c>
      <c r="H57" s="8" t="s">
        <v>10</v>
      </c>
      <c r="I57" s="39">
        <v>662</v>
      </c>
      <c r="J57" s="40">
        <v>0.47</v>
      </c>
      <c r="K57" s="11"/>
      <c r="L57" s="35"/>
      <c r="M57" s="36"/>
      <c r="N57" s="11"/>
      <c r="O57" s="11"/>
      <c r="P57" s="12"/>
      <c r="Q57" s="7"/>
      <c r="R57" s="7"/>
      <c r="S57" s="7"/>
      <c r="T57" s="7"/>
      <c r="U57" s="7"/>
      <c r="V57" s="7"/>
      <c r="W57" s="7"/>
      <c r="X57" s="7"/>
      <c r="Y57" s="7"/>
      <c r="Z57" s="7"/>
      <c r="AA57" s="7"/>
      <c r="AB57" s="7"/>
      <c r="AC57" s="7"/>
      <c r="AD57" s="7"/>
      <c r="AE57" s="7"/>
      <c r="AF57" s="7"/>
      <c r="AG57" s="7"/>
      <c r="AH57" s="7"/>
      <c r="AI57" s="7"/>
      <c r="AJ57" s="7"/>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c r="JQ57" s="6"/>
      <c r="JR57" s="6"/>
      <c r="JS57" s="6"/>
      <c r="JT57" s="6"/>
      <c r="JU57" s="6"/>
      <c r="JV57" s="6"/>
      <c r="JW57" s="6"/>
      <c r="JX57" s="6"/>
      <c r="JY57" s="6"/>
      <c r="JZ57" s="6"/>
      <c r="KA57" s="6"/>
      <c r="KB57" s="6"/>
      <c r="KC57" s="6"/>
      <c r="KD57" s="6"/>
      <c r="KE57" s="6"/>
      <c r="KF57" s="6"/>
      <c r="KG57" s="6"/>
      <c r="KH57" s="6"/>
      <c r="KI57" s="6"/>
      <c r="KJ57" s="6"/>
      <c r="KK57" s="6"/>
      <c r="KL57" s="6"/>
      <c r="KM57" s="6"/>
      <c r="KN57" s="6"/>
      <c r="KO57" s="6"/>
      <c r="KP57" s="6"/>
      <c r="KQ57" s="6"/>
      <c r="KR57" s="6"/>
      <c r="KS57" s="6"/>
      <c r="KT57" s="6"/>
      <c r="KU57" s="6"/>
      <c r="KV57" s="6"/>
      <c r="KW57" s="6"/>
      <c r="KX57" s="6"/>
      <c r="KY57" s="6"/>
      <c r="KZ57" s="6"/>
      <c r="LA57" s="6"/>
      <c r="LB57" s="6"/>
      <c r="LC57" s="6"/>
      <c r="LD57" s="6"/>
      <c r="LE57" s="6"/>
      <c r="LF57" s="6"/>
      <c r="LG57" s="6"/>
      <c r="LH57" s="6"/>
      <c r="LI57" s="6"/>
      <c r="LJ57" s="6"/>
      <c r="LK57" s="6"/>
      <c r="LL57" s="6"/>
      <c r="LM57" s="6"/>
      <c r="LN57" s="6"/>
      <c r="LO57" s="6"/>
      <c r="LP57" s="6"/>
      <c r="LQ57" s="6"/>
      <c r="LR57" s="6"/>
      <c r="LS57" s="6"/>
      <c r="LT57" s="6"/>
      <c r="LU57" s="6"/>
      <c r="LV57" s="6"/>
      <c r="LW57" s="6"/>
      <c r="LX57" s="6"/>
      <c r="LY57" s="6"/>
      <c r="LZ57" s="6"/>
      <c r="MA57" s="6"/>
      <c r="MB57" s="6"/>
      <c r="MC57" s="6"/>
      <c r="MD57" s="6"/>
      <c r="ME57" s="6"/>
      <c r="MF57" s="6"/>
      <c r="MG57" s="6"/>
      <c r="MH57" s="6"/>
      <c r="MI57" s="6"/>
      <c r="MJ57" s="6"/>
      <c r="MK57" s="6"/>
      <c r="ML57" s="6"/>
      <c r="MM57" s="6"/>
      <c r="MN57" s="6"/>
      <c r="MO57" s="6"/>
      <c r="MP57" s="6"/>
      <c r="MQ57" s="6"/>
    </row>
    <row r="58" spans="1:355" s="5" customFormat="1" ht="39.950000000000003" customHeight="1" x14ac:dyDescent="0.2">
      <c r="A58" s="8">
        <v>5</v>
      </c>
      <c r="B58" s="62"/>
      <c r="C58" s="10" t="s">
        <v>8</v>
      </c>
      <c r="D58" s="10" t="s">
        <v>15</v>
      </c>
      <c r="E58" s="8">
        <v>34</v>
      </c>
      <c r="F58" s="8">
        <v>3700</v>
      </c>
      <c r="G58" s="8" t="s">
        <v>16</v>
      </c>
      <c r="H58" s="8" t="s">
        <v>16</v>
      </c>
      <c r="I58" s="39">
        <v>493</v>
      </c>
      <c r="J58" s="40">
        <v>0.52</v>
      </c>
      <c r="K58" s="11"/>
      <c r="L58" s="35"/>
      <c r="M58" s="36"/>
      <c r="N58" s="11"/>
      <c r="O58" s="11"/>
      <c r="P58" s="12"/>
      <c r="Q58" s="7"/>
      <c r="R58" s="7"/>
      <c r="S58" s="7"/>
      <c r="T58" s="7"/>
      <c r="U58" s="7"/>
      <c r="V58" s="7"/>
      <c r="W58" s="7"/>
      <c r="X58" s="7"/>
      <c r="Y58" s="7"/>
      <c r="Z58" s="7"/>
      <c r="AA58" s="7"/>
      <c r="AB58" s="7"/>
      <c r="AC58" s="7"/>
      <c r="AD58" s="7"/>
      <c r="AE58" s="7"/>
      <c r="AF58" s="7"/>
      <c r="AG58" s="7"/>
      <c r="AH58" s="7"/>
      <c r="AI58" s="7"/>
      <c r="AJ58" s="7"/>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c r="JQ58" s="6"/>
      <c r="JR58" s="6"/>
      <c r="JS58" s="6"/>
      <c r="JT58" s="6"/>
      <c r="JU58" s="6"/>
      <c r="JV58" s="6"/>
      <c r="JW58" s="6"/>
      <c r="JX58" s="6"/>
      <c r="JY58" s="6"/>
      <c r="JZ58" s="6"/>
      <c r="KA58" s="6"/>
      <c r="KB58" s="6"/>
      <c r="KC58" s="6"/>
      <c r="KD58" s="6"/>
      <c r="KE58" s="6"/>
      <c r="KF58" s="6"/>
      <c r="KG58" s="6"/>
      <c r="KH58" s="6"/>
      <c r="KI58" s="6"/>
      <c r="KJ58" s="6"/>
      <c r="KK58" s="6"/>
      <c r="KL58" s="6"/>
      <c r="KM58" s="6"/>
      <c r="KN58" s="6"/>
      <c r="KO58" s="6"/>
      <c r="KP58" s="6"/>
      <c r="KQ58" s="6"/>
      <c r="KR58" s="6"/>
      <c r="KS58" s="6"/>
      <c r="KT58" s="6"/>
      <c r="KU58" s="6"/>
      <c r="KV58" s="6"/>
      <c r="KW58" s="6"/>
      <c r="KX58" s="6"/>
      <c r="KY58" s="6"/>
      <c r="KZ58" s="6"/>
      <c r="LA58" s="6"/>
      <c r="LB58" s="6"/>
      <c r="LC58" s="6"/>
      <c r="LD58" s="6"/>
      <c r="LE58" s="6"/>
      <c r="LF58" s="6"/>
      <c r="LG58" s="6"/>
      <c r="LH58" s="6"/>
      <c r="LI58" s="6"/>
      <c r="LJ58" s="6"/>
      <c r="LK58" s="6"/>
      <c r="LL58" s="6"/>
      <c r="LM58" s="6"/>
      <c r="LN58" s="6"/>
      <c r="LO58" s="6"/>
      <c r="LP58" s="6"/>
      <c r="LQ58" s="6"/>
      <c r="LR58" s="6"/>
      <c r="LS58" s="6"/>
      <c r="LT58" s="6"/>
      <c r="LU58" s="6"/>
      <c r="LV58" s="6"/>
      <c r="LW58" s="6"/>
      <c r="LX58" s="6"/>
      <c r="LY58" s="6"/>
      <c r="LZ58" s="6"/>
      <c r="MA58" s="6"/>
      <c r="MB58" s="6"/>
      <c r="MC58" s="6"/>
      <c r="MD58" s="6"/>
      <c r="ME58" s="6"/>
      <c r="MF58" s="6"/>
      <c r="MG58" s="6"/>
      <c r="MH58" s="6"/>
      <c r="MI58" s="6"/>
      <c r="MJ58" s="6"/>
      <c r="MK58" s="6"/>
      <c r="ML58" s="6"/>
      <c r="MM58" s="6"/>
      <c r="MN58" s="6"/>
      <c r="MO58" s="6"/>
      <c r="MP58" s="6"/>
      <c r="MQ58" s="6"/>
    </row>
    <row r="59" spans="1:355" s="5" customFormat="1" ht="39.950000000000003" customHeight="1" x14ac:dyDescent="0.2">
      <c r="A59" s="8">
        <v>6</v>
      </c>
      <c r="B59" s="62"/>
      <c r="C59" s="10" t="s">
        <v>8</v>
      </c>
      <c r="D59" s="10" t="s">
        <v>17</v>
      </c>
      <c r="E59" s="8">
        <v>44</v>
      </c>
      <c r="F59" s="8">
        <v>4600</v>
      </c>
      <c r="G59" s="8" t="s">
        <v>16</v>
      </c>
      <c r="H59" s="8" t="s">
        <v>16</v>
      </c>
      <c r="I59" s="39">
        <v>612</v>
      </c>
      <c r="J59" s="40">
        <v>0.52</v>
      </c>
      <c r="K59" s="11"/>
      <c r="L59" s="35"/>
      <c r="M59" s="36"/>
      <c r="N59" s="11"/>
      <c r="O59" s="11"/>
      <c r="P59" s="12"/>
      <c r="Q59" s="7"/>
      <c r="R59" s="7"/>
      <c r="S59" s="7"/>
      <c r="T59" s="7"/>
      <c r="U59" s="7"/>
      <c r="V59" s="7"/>
      <c r="W59" s="7"/>
      <c r="X59" s="7"/>
      <c r="Y59" s="7"/>
      <c r="Z59" s="7"/>
      <c r="AA59" s="7"/>
      <c r="AB59" s="7"/>
      <c r="AC59" s="7"/>
      <c r="AD59" s="7"/>
      <c r="AE59" s="7"/>
      <c r="AF59" s="7"/>
      <c r="AG59" s="7"/>
      <c r="AH59" s="7"/>
      <c r="AI59" s="7"/>
      <c r="AJ59" s="7"/>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c r="JQ59" s="6"/>
      <c r="JR59" s="6"/>
      <c r="JS59" s="6"/>
      <c r="JT59" s="6"/>
      <c r="JU59" s="6"/>
      <c r="JV59" s="6"/>
      <c r="JW59" s="6"/>
      <c r="JX59" s="6"/>
      <c r="JY59" s="6"/>
      <c r="JZ59" s="6"/>
      <c r="KA59" s="6"/>
      <c r="KB59" s="6"/>
      <c r="KC59" s="6"/>
      <c r="KD59" s="6"/>
      <c r="KE59" s="6"/>
      <c r="KF59" s="6"/>
      <c r="KG59" s="6"/>
      <c r="KH59" s="6"/>
      <c r="KI59" s="6"/>
      <c r="KJ59" s="6"/>
      <c r="KK59" s="6"/>
      <c r="KL59" s="6"/>
      <c r="KM59" s="6"/>
      <c r="KN59" s="6"/>
      <c r="KO59" s="6"/>
      <c r="KP59" s="6"/>
      <c r="KQ59" s="6"/>
      <c r="KR59" s="6"/>
      <c r="KS59" s="6"/>
      <c r="KT59" s="6"/>
      <c r="KU59" s="6"/>
      <c r="KV59" s="6"/>
      <c r="KW59" s="6"/>
      <c r="KX59" s="6"/>
      <c r="KY59" s="6"/>
      <c r="KZ59" s="6"/>
      <c r="LA59" s="6"/>
      <c r="LB59" s="6"/>
      <c r="LC59" s="6"/>
      <c r="LD59" s="6"/>
      <c r="LE59" s="6"/>
      <c r="LF59" s="6"/>
      <c r="LG59" s="6"/>
      <c r="LH59" s="6"/>
      <c r="LI59" s="6"/>
      <c r="LJ59" s="6"/>
      <c r="LK59" s="6"/>
      <c r="LL59" s="6"/>
      <c r="LM59" s="6"/>
      <c r="LN59" s="6"/>
      <c r="LO59" s="6"/>
      <c r="LP59" s="6"/>
      <c r="LQ59" s="6"/>
      <c r="LR59" s="6"/>
      <c r="LS59" s="6"/>
      <c r="LT59" s="6"/>
      <c r="LU59" s="6"/>
      <c r="LV59" s="6"/>
      <c r="LW59" s="6"/>
      <c r="LX59" s="6"/>
      <c r="LY59" s="6"/>
      <c r="LZ59" s="6"/>
      <c r="MA59" s="6"/>
      <c r="MB59" s="6"/>
      <c r="MC59" s="6"/>
      <c r="MD59" s="6"/>
      <c r="ME59" s="6"/>
      <c r="MF59" s="6"/>
      <c r="MG59" s="6"/>
      <c r="MH59" s="6"/>
      <c r="MI59" s="6"/>
      <c r="MJ59" s="6"/>
      <c r="MK59" s="6"/>
      <c r="ML59" s="6"/>
      <c r="MM59" s="6"/>
      <c r="MN59" s="6"/>
      <c r="MO59" s="6"/>
      <c r="MP59" s="6"/>
      <c r="MQ59" s="6"/>
    </row>
    <row r="60" spans="1:355" s="5" customFormat="1" ht="39.950000000000003" customHeight="1" x14ac:dyDescent="0.2">
      <c r="A60" s="8">
        <v>7</v>
      </c>
      <c r="B60" s="62"/>
      <c r="C60" s="10" t="s">
        <v>18</v>
      </c>
      <c r="D60" s="10" t="s">
        <v>19</v>
      </c>
      <c r="E60" s="8">
        <v>33</v>
      </c>
      <c r="F60" s="8">
        <v>4367</v>
      </c>
      <c r="G60" s="8" t="s">
        <v>20</v>
      </c>
      <c r="H60" s="8" t="s">
        <v>20</v>
      </c>
      <c r="I60" s="39">
        <v>570</v>
      </c>
      <c r="J60" s="40">
        <v>0.55000000000000004</v>
      </c>
      <c r="K60" s="11"/>
      <c r="L60" s="35"/>
      <c r="M60" s="36"/>
      <c r="N60" s="11"/>
      <c r="O60" s="11"/>
      <c r="P60" s="12"/>
      <c r="Q60" s="7"/>
      <c r="R60" s="7"/>
      <c r="S60" s="7"/>
      <c r="T60" s="7"/>
      <c r="U60" s="7"/>
      <c r="V60" s="7"/>
      <c r="W60" s="7"/>
      <c r="X60" s="7"/>
      <c r="Y60" s="7"/>
      <c r="Z60" s="7"/>
      <c r="AA60" s="7"/>
      <c r="AB60" s="7"/>
      <c r="AC60" s="7"/>
      <c r="AD60" s="7"/>
      <c r="AE60" s="7"/>
      <c r="AF60" s="7"/>
      <c r="AG60" s="7"/>
      <c r="AH60" s="7"/>
      <c r="AI60" s="7"/>
      <c r="AJ60" s="7"/>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c r="JQ60" s="6"/>
      <c r="JR60" s="6"/>
      <c r="JS60" s="6"/>
      <c r="JT60" s="6"/>
      <c r="JU60" s="6"/>
      <c r="JV60" s="6"/>
      <c r="JW60" s="6"/>
      <c r="JX60" s="6"/>
      <c r="JY60" s="6"/>
      <c r="JZ60" s="6"/>
      <c r="KA60" s="6"/>
      <c r="KB60" s="6"/>
      <c r="KC60" s="6"/>
      <c r="KD60" s="6"/>
      <c r="KE60" s="6"/>
      <c r="KF60" s="6"/>
      <c r="KG60" s="6"/>
      <c r="KH60" s="6"/>
      <c r="KI60" s="6"/>
      <c r="KJ60" s="6"/>
      <c r="KK60" s="6"/>
      <c r="KL60" s="6"/>
      <c r="KM60" s="6"/>
      <c r="KN60" s="6"/>
      <c r="KO60" s="6"/>
      <c r="KP60" s="6"/>
      <c r="KQ60" s="6"/>
      <c r="KR60" s="6"/>
      <c r="KS60" s="6"/>
      <c r="KT60" s="6"/>
      <c r="KU60" s="6"/>
      <c r="KV60" s="6"/>
      <c r="KW60" s="6"/>
      <c r="KX60" s="6"/>
      <c r="KY60" s="6"/>
      <c r="KZ60" s="6"/>
      <c r="LA60" s="6"/>
      <c r="LB60" s="6"/>
      <c r="LC60" s="6"/>
      <c r="LD60" s="6"/>
      <c r="LE60" s="6"/>
      <c r="LF60" s="6"/>
      <c r="LG60" s="6"/>
      <c r="LH60" s="6"/>
      <c r="LI60" s="6"/>
      <c r="LJ60" s="6"/>
      <c r="LK60" s="6"/>
      <c r="LL60" s="6"/>
      <c r="LM60" s="6"/>
      <c r="LN60" s="6"/>
      <c r="LO60" s="6"/>
      <c r="LP60" s="6"/>
      <c r="LQ60" s="6"/>
      <c r="LR60" s="6"/>
      <c r="LS60" s="6"/>
      <c r="LT60" s="6"/>
      <c r="LU60" s="6"/>
      <c r="LV60" s="6"/>
      <c r="LW60" s="6"/>
      <c r="LX60" s="6"/>
      <c r="LY60" s="6"/>
      <c r="LZ60" s="6"/>
      <c r="MA60" s="6"/>
      <c r="MB60" s="6"/>
      <c r="MC60" s="6"/>
      <c r="MD60" s="6"/>
      <c r="ME60" s="6"/>
      <c r="MF60" s="6"/>
      <c r="MG60" s="6"/>
      <c r="MH60" s="6"/>
      <c r="MI60" s="6"/>
      <c r="MJ60" s="6"/>
      <c r="MK60" s="6"/>
      <c r="ML60" s="6"/>
      <c r="MM60" s="6"/>
      <c r="MN60" s="6"/>
      <c r="MO60" s="6"/>
      <c r="MP60" s="6"/>
      <c r="MQ60" s="6"/>
    </row>
    <row r="61" spans="1:355" s="5" customFormat="1" ht="39.950000000000003" customHeight="1" x14ac:dyDescent="0.2">
      <c r="A61" s="8">
        <v>8</v>
      </c>
      <c r="B61" s="62"/>
      <c r="C61" s="10" t="s">
        <v>18</v>
      </c>
      <c r="D61" s="10" t="s">
        <v>21</v>
      </c>
      <c r="E61" s="8">
        <v>35</v>
      </c>
      <c r="F61" s="8">
        <v>3421</v>
      </c>
      <c r="G61" s="8" t="s">
        <v>22</v>
      </c>
      <c r="H61" s="8" t="s">
        <v>22</v>
      </c>
      <c r="I61" s="39">
        <v>399</v>
      </c>
      <c r="J61" s="40">
        <v>0.61</v>
      </c>
      <c r="K61" s="11"/>
      <c r="L61" s="35"/>
      <c r="M61" s="36"/>
      <c r="N61" s="11"/>
      <c r="O61" s="11"/>
      <c r="P61" s="12"/>
      <c r="Q61" s="7"/>
      <c r="R61" s="7"/>
      <c r="S61" s="7"/>
      <c r="T61" s="7"/>
      <c r="U61" s="7"/>
      <c r="V61" s="7"/>
      <c r="W61" s="7"/>
      <c r="X61" s="7"/>
      <c r="Y61" s="7"/>
      <c r="Z61" s="7"/>
      <c r="AA61" s="7"/>
      <c r="AB61" s="7"/>
      <c r="AC61" s="7"/>
      <c r="AD61" s="7"/>
      <c r="AE61" s="7"/>
      <c r="AF61" s="7"/>
      <c r="AG61" s="7"/>
      <c r="AH61" s="7"/>
      <c r="AI61" s="7"/>
      <c r="AJ61" s="7"/>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c r="JQ61" s="6"/>
      <c r="JR61" s="6"/>
      <c r="JS61" s="6"/>
      <c r="JT61" s="6"/>
      <c r="JU61" s="6"/>
      <c r="JV61" s="6"/>
      <c r="JW61" s="6"/>
      <c r="JX61" s="6"/>
      <c r="JY61" s="6"/>
      <c r="JZ61" s="6"/>
      <c r="KA61" s="6"/>
      <c r="KB61" s="6"/>
      <c r="KC61" s="6"/>
      <c r="KD61" s="6"/>
      <c r="KE61" s="6"/>
      <c r="KF61" s="6"/>
      <c r="KG61" s="6"/>
      <c r="KH61" s="6"/>
      <c r="KI61" s="6"/>
      <c r="KJ61" s="6"/>
      <c r="KK61" s="6"/>
      <c r="KL61" s="6"/>
      <c r="KM61" s="6"/>
      <c r="KN61" s="6"/>
      <c r="KO61" s="6"/>
      <c r="KP61" s="6"/>
      <c r="KQ61" s="6"/>
      <c r="KR61" s="6"/>
      <c r="KS61" s="6"/>
      <c r="KT61" s="6"/>
      <c r="KU61" s="6"/>
      <c r="KV61" s="6"/>
      <c r="KW61" s="6"/>
      <c r="KX61" s="6"/>
      <c r="KY61" s="6"/>
      <c r="KZ61" s="6"/>
      <c r="LA61" s="6"/>
      <c r="LB61" s="6"/>
      <c r="LC61" s="6"/>
      <c r="LD61" s="6"/>
      <c r="LE61" s="6"/>
      <c r="LF61" s="6"/>
      <c r="LG61" s="6"/>
      <c r="LH61" s="6"/>
      <c r="LI61" s="6"/>
      <c r="LJ61" s="6"/>
      <c r="LK61" s="6"/>
      <c r="LL61" s="6"/>
      <c r="LM61" s="6"/>
      <c r="LN61" s="6"/>
      <c r="LO61" s="6"/>
      <c r="LP61" s="6"/>
      <c r="LQ61" s="6"/>
      <c r="LR61" s="6"/>
      <c r="LS61" s="6"/>
      <c r="LT61" s="6"/>
      <c r="LU61" s="6"/>
      <c r="LV61" s="6"/>
      <c r="LW61" s="6"/>
      <c r="LX61" s="6"/>
      <c r="LY61" s="6"/>
      <c r="LZ61" s="6"/>
      <c r="MA61" s="6"/>
      <c r="MB61" s="6"/>
      <c r="MC61" s="6"/>
      <c r="MD61" s="6"/>
      <c r="ME61" s="6"/>
      <c r="MF61" s="6"/>
      <c r="MG61" s="6"/>
      <c r="MH61" s="6"/>
      <c r="MI61" s="6"/>
      <c r="MJ61" s="6"/>
      <c r="MK61" s="6"/>
      <c r="ML61" s="6"/>
      <c r="MM61" s="6"/>
      <c r="MN61" s="6"/>
      <c r="MO61" s="6"/>
      <c r="MP61" s="6"/>
      <c r="MQ61" s="6"/>
    </row>
    <row r="62" spans="1:355" s="5" customFormat="1" ht="39.950000000000003" customHeight="1" x14ac:dyDescent="0.2">
      <c r="A62" s="8">
        <v>9</v>
      </c>
      <c r="B62" s="62"/>
      <c r="C62" s="10" t="s">
        <v>23</v>
      </c>
      <c r="D62" s="10" t="s">
        <v>24</v>
      </c>
      <c r="E62" s="8">
        <v>45</v>
      </c>
      <c r="F62" s="8">
        <v>5272</v>
      </c>
      <c r="G62" s="8" t="s">
        <v>22</v>
      </c>
      <c r="H62" s="8" t="s">
        <v>22</v>
      </c>
      <c r="I62" s="39">
        <v>622</v>
      </c>
      <c r="J62" s="40">
        <v>0.61</v>
      </c>
      <c r="K62" s="11"/>
      <c r="L62" s="35"/>
      <c r="M62" s="36"/>
      <c r="N62" s="11"/>
      <c r="O62" s="11"/>
      <c r="P62" s="12"/>
      <c r="Q62" s="7"/>
      <c r="R62" s="7"/>
      <c r="S62" s="7"/>
      <c r="T62" s="7"/>
      <c r="U62" s="7"/>
      <c r="V62" s="7"/>
      <c r="W62" s="7"/>
      <c r="X62" s="7"/>
      <c r="Y62" s="7"/>
      <c r="Z62" s="7"/>
      <c r="AA62" s="7"/>
      <c r="AB62" s="7"/>
      <c r="AC62" s="7"/>
      <c r="AD62" s="7"/>
      <c r="AE62" s="7"/>
      <c r="AF62" s="7"/>
      <c r="AG62" s="7"/>
      <c r="AH62" s="7"/>
      <c r="AI62" s="7"/>
      <c r="AJ62" s="7"/>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c r="JQ62" s="6"/>
      <c r="JR62" s="6"/>
      <c r="JS62" s="6"/>
      <c r="JT62" s="6"/>
      <c r="JU62" s="6"/>
      <c r="JV62" s="6"/>
      <c r="JW62" s="6"/>
      <c r="JX62" s="6"/>
      <c r="JY62" s="6"/>
      <c r="JZ62" s="6"/>
      <c r="KA62" s="6"/>
      <c r="KB62" s="6"/>
      <c r="KC62" s="6"/>
      <c r="KD62" s="6"/>
      <c r="KE62" s="6"/>
      <c r="KF62" s="6"/>
      <c r="KG62" s="6"/>
      <c r="KH62" s="6"/>
      <c r="KI62" s="6"/>
      <c r="KJ62" s="6"/>
      <c r="KK62" s="6"/>
      <c r="KL62" s="6"/>
      <c r="KM62" s="6"/>
      <c r="KN62" s="6"/>
      <c r="KO62" s="6"/>
      <c r="KP62" s="6"/>
      <c r="KQ62" s="6"/>
      <c r="KR62" s="6"/>
      <c r="KS62" s="6"/>
      <c r="KT62" s="6"/>
      <c r="KU62" s="6"/>
      <c r="KV62" s="6"/>
      <c r="KW62" s="6"/>
      <c r="KX62" s="6"/>
      <c r="KY62" s="6"/>
      <c r="KZ62" s="6"/>
      <c r="LA62" s="6"/>
      <c r="LB62" s="6"/>
      <c r="LC62" s="6"/>
      <c r="LD62" s="6"/>
      <c r="LE62" s="6"/>
      <c r="LF62" s="6"/>
      <c r="LG62" s="6"/>
      <c r="LH62" s="6"/>
      <c r="LI62" s="6"/>
      <c r="LJ62" s="6"/>
      <c r="LK62" s="6"/>
      <c r="LL62" s="6"/>
      <c r="LM62" s="6"/>
      <c r="LN62" s="6"/>
      <c r="LO62" s="6"/>
      <c r="LP62" s="6"/>
      <c r="LQ62" s="6"/>
      <c r="LR62" s="6"/>
      <c r="LS62" s="6"/>
      <c r="LT62" s="6"/>
      <c r="LU62" s="6"/>
      <c r="LV62" s="6"/>
      <c r="LW62" s="6"/>
      <c r="LX62" s="6"/>
      <c r="LY62" s="6"/>
      <c r="LZ62" s="6"/>
      <c r="MA62" s="6"/>
      <c r="MB62" s="6"/>
      <c r="MC62" s="6"/>
      <c r="MD62" s="6"/>
      <c r="ME62" s="6"/>
      <c r="MF62" s="6"/>
      <c r="MG62" s="6"/>
      <c r="MH62" s="6"/>
      <c r="MI62" s="6"/>
      <c r="MJ62" s="6"/>
      <c r="MK62" s="6"/>
      <c r="ML62" s="6"/>
      <c r="MM62" s="6"/>
      <c r="MN62" s="6"/>
      <c r="MO62" s="6"/>
      <c r="MP62" s="6"/>
      <c r="MQ62" s="6"/>
    </row>
    <row r="63" spans="1:355" s="5" customFormat="1" ht="39.950000000000003" customHeight="1" x14ac:dyDescent="0.2">
      <c r="A63" s="8">
        <v>10</v>
      </c>
      <c r="B63" s="62"/>
      <c r="C63" s="10" t="s">
        <v>25</v>
      </c>
      <c r="D63" s="10" t="s">
        <v>26</v>
      </c>
      <c r="E63" s="8">
        <v>33</v>
      </c>
      <c r="F63" s="8">
        <v>3100</v>
      </c>
      <c r="G63" s="8" t="s">
        <v>22</v>
      </c>
      <c r="H63" s="8" t="s">
        <v>22</v>
      </c>
      <c r="I63" s="39">
        <v>362</v>
      </c>
      <c r="J63" s="40">
        <v>0.6</v>
      </c>
      <c r="K63" s="11"/>
      <c r="L63" s="35"/>
      <c r="M63" s="36"/>
      <c r="N63" s="11"/>
      <c r="O63" s="11"/>
      <c r="P63" s="12"/>
      <c r="Q63" s="7"/>
      <c r="R63" s="7"/>
      <c r="S63" s="7"/>
      <c r="T63" s="7"/>
      <c r="U63" s="7"/>
      <c r="V63" s="7"/>
      <c r="W63" s="7"/>
      <c r="X63" s="7"/>
      <c r="Y63" s="7"/>
      <c r="Z63" s="7"/>
      <c r="AA63" s="7"/>
      <c r="AB63" s="7"/>
      <c r="AC63" s="7"/>
      <c r="AD63" s="7"/>
      <c r="AE63" s="7"/>
      <c r="AF63" s="7"/>
      <c r="AG63" s="7"/>
      <c r="AH63" s="7"/>
      <c r="AI63" s="7"/>
      <c r="AJ63" s="7"/>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c r="JQ63" s="6"/>
      <c r="JR63" s="6"/>
      <c r="JS63" s="6"/>
      <c r="JT63" s="6"/>
      <c r="JU63" s="6"/>
      <c r="JV63" s="6"/>
      <c r="JW63" s="6"/>
      <c r="JX63" s="6"/>
      <c r="JY63" s="6"/>
      <c r="JZ63" s="6"/>
      <c r="KA63" s="6"/>
      <c r="KB63" s="6"/>
      <c r="KC63" s="6"/>
      <c r="KD63" s="6"/>
      <c r="KE63" s="6"/>
      <c r="KF63" s="6"/>
      <c r="KG63" s="6"/>
      <c r="KH63" s="6"/>
      <c r="KI63" s="6"/>
      <c r="KJ63" s="6"/>
      <c r="KK63" s="6"/>
      <c r="KL63" s="6"/>
      <c r="KM63" s="6"/>
      <c r="KN63" s="6"/>
      <c r="KO63" s="6"/>
      <c r="KP63" s="6"/>
      <c r="KQ63" s="6"/>
      <c r="KR63" s="6"/>
      <c r="KS63" s="6"/>
      <c r="KT63" s="6"/>
      <c r="KU63" s="6"/>
      <c r="KV63" s="6"/>
      <c r="KW63" s="6"/>
      <c r="KX63" s="6"/>
      <c r="KY63" s="6"/>
      <c r="KZ63" s="6"/>
      <c r="LA63" s="6"/>
      <c r="LB63" s="6"/>
      <c r="LC63" s="6"/>
      <c r="LD63" s="6"/>
      <c r="LE63" s="6"/>
      <c r="LF63" s="6"/>
      <c r="LG63" s="6"/>
      <c r="LH63" s="6"/>
      <c r="LI63" s="6"/>
      <c r="LJ63" s="6"/>
      <c r="LK63" s="6"/>
      <c r="LL63" s="6"/>
      <c r="LM63" s="6"/>
      <c r="LN63" s="6"/>
      <c r="LO63" s="6"/>
      <c r="LP63" s="6"/>
      <c r="LQ63" s="6"/>
      <c r="LR63" s="6"/>
      <c r="LS63" s="6"/>
      <c r="LT63" s="6"/>
      <c r="LU63" s="6"/>
      <c r="LV63" s="6"/>
      <c r="LW63" s="6"/>
      <c r="LX63" s="6"/>
      <c r="LY63" s="6"/>
      <c r="LZ63" s="6"/>
      <c r="MA63" s="6"/>
      <c r="MB63" s="6"/>
      <c r="MC63" s="6"/>
      <c r="MD63" s="6"/>
      <c r="ME63" s="6"/>
      <c r="MF63" s="6"/>
      <c r="MG63" s="6"/>
      <c r="MH63" s="6"/>
      <c r="MI63" s="6"/>
      <c r="MJ63" s="6"/>
      <c r="MK63" s="6"/>
      <c r="ML63" s="6"/>
      <c r="MM63" s="6"/>
      <c r="MN63" s="6"/>
      <c r="MO63" s="6"/>
      <c r="MP63" s="6"/>
      <c r="MQ63" s="6"/>
    </row>
  </sheetData>
  <mergeCells count="17">
    <mergeCell ref="B54:B63"/>
    <mergeCell ref="A52:H52"/>
    <mergeCell ref="I52:J52"/>
    <mergeCell ref="Q17:Z17"/>
    <mergeCell ref="AA17:AJ17"/>
    <mergeCell ref="A49:K49"/>
    <mergeCell ref="A47:N48"/>
    <mergeCell ref="Q19:Z19"/>
    <mergeCell ref="AA19:AJ19"/>
    <mergeCell ref="N49:N50"/>
    <mergeCell ref="P10:P11"/>
    <mergeCell ref="Q16:Z16"/>
    <mergeCell ref="AA16:AJ16"/>
    <mergeCell ref="Q18:Z18"/>
    <mergeCell ref="AA18:AJ18"/>
    <mergeCell ref="Q10:Z11"/>
    <mergeCell ref="AA10:AJ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ofc ofc</dc:creator>
  <cp:lastModifiedBy>Arman YASA</cp:lastModifiedBy>
  <dcterms:created xsi:type="dcterms:W3CDTF">2025-12-03T11:46:39Z</dcterms:created>
  <dcterms:modified xsi:type="dcterms:W3CDTF">2025-12-05T19:28:30Z</dcterms:modified>
</cp:coreProperties>
</file>